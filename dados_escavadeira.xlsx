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477" documentId="8_{CE5C6F22-4BE2-41D0-BCDC-905D26C0C4E3}" xr6:coauthVersionLast="47" xr6:coauthVersionMax="47" xr10:uidLastSave="{FE23A645-1DD5-4437-9D7B-81A294E729A5}"/>
  <bookViews>
    <workbookView xWindow="-120" yWindow="-120" windowWidth="20730" windowHeight="11040" tabRatio="678" activeTab="3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 iterateDelta="1E-4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24" i="1" l="1"/>
  <c r="I923" i="1"/>
  <c r="I922" i="1"/>
  <c r="I921" i="1"/>
  <c r="I920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<sst xmlns="http://schemas.openxmlformats.org/spreadsheetml/2006/main" count="11640" uniqueCount="3287">
  <si>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</si>
  <si>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</si>
  <si>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</si>
  <si>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</si>
  <si>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</si>
  <si>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</si>
  <si>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</si>
  <si>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</si>
  <si>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</si>
  <si>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</si>
  <si>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</si>
  <si>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</si>
  <si>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</si>
  <si>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</si>
  <si>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</si>
  <si>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</si>
  <si>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</si>
  <si>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</si>
  <si>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</si>
  <si>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</si>
  <si>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</si>
  <si>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</si>
  <si>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</si>
  <si>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</si>
  <si>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</si>
  <si>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</si>
  <si>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</si>
  <si>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</si>
  <si>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</si>
  <si>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</si>
  <si>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</si>
  <si>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</si>
  <si>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</si>
  <si>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</si>
  <si>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</si>
  <si>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</si>
  <si>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</si>
  <si>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</si>
  <si>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</si>
  <si>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</si>
  <si>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</si>
  <si>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</si>
  <si>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</si>
  <si>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</si>
  <si>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</si>
  <si>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</si>
  <si>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</si>
  <si>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</si>
  <si>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</si>
  <si>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</si>
  <si>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</si>
  <si>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</si>
  <si>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</si>
  <si>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</si>
  <si>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</si>
  <si>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</si>
  <si>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</si>
  <si>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</si>
  <si>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</si>
  <si>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</si>
  <si>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</si>
  <si>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</si>
  <si>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</si>
  <si>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</si>
  <si>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</si>
  <si>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</si>
  <si>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</si>
  <si>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</si>
  <si>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</si>
  <si>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</si>
  <si>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</si>
  <si>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</si>
  <si>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</si>
  <si>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</si>
  <si>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</si>
  <si>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</si>
  <si>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</si>
  <si>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</si>
  <si>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</si>
  <si>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</si>
  <si>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</si>
  <si>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</si>
  <si>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</si>
  <si>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</si>
  <si>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</si>
  <si>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</si>
  <si>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</si>
  <si>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</si>
  <si>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</si>
  <si>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</si>
  <si>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</si>
  <si>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</si>
  <si>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</si>
  <si>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</si>
  <si>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</si>
  <si>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</si>
  <si>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</si>
  <si>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</si>
  <si>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</si>
  <si>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</si>
  <si>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</si>
  <si>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</si>
  <si>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</si>
  <si>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</si>
  <si>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</si>
  <si>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</si>
  <si>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</si>
  <si>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</si>
  <si>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</si>
  <si>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</si>
  <si>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</si>
  <si>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</si>
  <si>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</si>
  <si>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</si>
  <si>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</si>
  <si>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</si>
  <si>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</si>
  <si>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</si>
  <si>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</si>
  <si>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</si>
  <si>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</si>
  <si>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</si>
  <si>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</si>
  <si>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</si>
  <si>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</si>
  <si>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</si>
  <si>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</si>
  <si>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</si>
  <si>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</si>
  <si>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</si>
  <si>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</si>
  <si>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</si>
  <si>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</si>
  <si>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</si>
  <si>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</si>
  <si>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</si>
  <si>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</si>
  <si>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</si>
  <si>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</si>
  <si>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</si>
  <si>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</si>
  <si>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</si>
  <si>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</si>
  <si>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</si>
  <si>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</si>
  <si>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</si>
  <si>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</si>
  <si>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</si>
  <si>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</si>
  <si>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</si>
  <si>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</si>
  <si>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</si>
  <si>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</si>
  <si>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</si>
  <si>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</si>
  <si>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</si>
  <si>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</si>
  <si>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</si>
  <si>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</si>
  <si>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</si>
  <si>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</si>
  <si>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</si>
  <si>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</si>
  <si>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</si>
  <si>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</si>
  <si>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</si>
  <si>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</si>
  <si>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</si>
  <si>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</si>
  <si>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</si>
  <si>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</si>
  <si>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</si>
  <si>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</si>
  <si>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</si>
  <si>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</si>
  <si>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</si>
  <si>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</si>
  <si>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</si>
  <si>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</si>
  <si>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</si>
  <si>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</si>
  <si>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</si>
  <si>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</si>
  <si>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</si>
  <si>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</si>
  <si>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</si>
  <si>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</si>
  <si>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</si>
  <si>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</si>
  <si>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</si>
  <si>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</si>
  <si>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</si>
  <si>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</si>
  <si>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</si>
  <si>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</si>
  <si>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</si>
  <si>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</si>
  <si>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</si>
  <si>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</si>
  <si>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</si>
  <si>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</si>
  <si>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</si>
  <si>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</si>
  <si>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</si>
  <si>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</si>
  <si>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</si>
  <si>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</si>
  <si>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</si>
  <si>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</si>
  <si>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</si>
  <si>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</si>
  <si>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</si>
  <si>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</si>
  <si>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</si>
  <si>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</si>
  <si>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</si>
  <si>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</si>
  <si>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</si>
  <si>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</si>
  <si>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</si>
  <si>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</si>
  <si>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</si>
  <si>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</si>
  <si>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</si>
  <si>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</si>
  <si>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</si>
  <si>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</si>
  <si>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</si>
  <si>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</si>
  <si>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</si>
  <si>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</si>
  <si>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</si>
  <si>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</si>
  <si>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</si>
  <si>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</si>
  <si>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</si>
  <si>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</si>
  <si>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</si>
  <si>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</si>
  <si>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</si>
  <si>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</si>
  <si>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</si>
  <si>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</si>
  <si>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</si>
  <si>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</si>
  <si>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</si>
  <si>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</si>
  <si>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</si>
  <si>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</si>
  <si>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</si>
  <si>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</si>
  <si>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</si>
  <si>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</si>
  <si>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</si>
  <si>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</si>
  <si>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</si>
  <si>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</si>
  <si>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</si>
  <si>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</si>
  <si>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</si>
  <si>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</si>
  <si>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</si>
  <si>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</si>
  <si>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</si>
  <si>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</si>
  <si>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</si>
  <si>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</si>
  <si>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</si>
  <si>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</si>
  <si>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</si>
  <si>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</si>
  <si>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</si>
  <si>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</si>
  <si>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</si>
  <si>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</si>
  <si>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</si>
  <si>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</si>
  <si>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</si>
  <si>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</si>
  <si>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</si>
  <si>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</si>
  <si>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</si>
  <si>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</si>
  <si>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</si>
  <si>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</si>
  <si>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</si>
  <si>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</si>
  <si>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</si>
  <si>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</si>
  <si>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</si>
  <si>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</si>
  <si>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</si>
  <si>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</si>
  <si>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</si>
  <si>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</si>
  <si>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</si>
  <si>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</si>
  <si>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</si>
  <si>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</si>
  <si>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</si>
  <si>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</si>
  <si>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</si>
  <si>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</si>
  <si>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</si>
  <si>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</si>
  <si>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</si>
  <si>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</si>
  <si>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</si>
  <si>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</si>
  <si>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</si>
  <si>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</si>
  <si>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</si>
  <si>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</si>
  <si>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</si>
  <si>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</si>
  <si>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</si>
  <si>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</si>
  <si>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</si>
  <si>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</si>
  <si>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</si>
  <si>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</si>
  <si>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</si>
  <si>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</si>
  <si>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</si>
  <si>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</si>
  <si>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</si>
  <si>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</si>
  <si>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</si>
  <si>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</si>
  <si>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</si>
  <si>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</si>
  <si>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</si>
  <si>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</si>
  <si>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</si>
  <si>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</si>
  <si>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</si>
  <si>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</si>
  <si>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</si>
  <si>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</si>
  <si>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</si>
  <si>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</si>
  <si>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</si>
  <si>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</si>
  <si>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</si>
  <si>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</si>
  <si>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</si>
  <si>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</si>
  <si>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</si>
  <si>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</si>
  <si>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</si>
  <si>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</si>
  <si>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</si>
  <si>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</si>
  <si>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</si>
  <si>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</si>
  <si>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</si>
  <si>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</si>
  <si>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</si>
  <si>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</si>
  <si>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</si>
  <si>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</si>
  <si>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</si>
  <si>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</si>
  <si>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</si>
  <si>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</si>
  <si>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</si>
  <si>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</si>
  <si>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</si>
  <si>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</si>
  <si>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</si>
  <si>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</si>
  <si>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</si>
  <si>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</si>
  <si>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</si>
  <si>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</si>
  <si>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</si>
  <si>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</si>
  <si>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</si>
  <si>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</si>
  <si>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</si>
  <si>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</si>
  <si>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</si>
  <si>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</si>
  <si>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</si>
  <si>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</si>
  <si>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</si>
  <si>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</si>
  <si>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</si>
  <si>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</si>
  <si>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</si>
  <si>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</si>
  <si>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</si>
  <si>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</si>
  <si>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</si>
  <si>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</si>
  <si>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</si>
  <si>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</si>
  <si>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</si>
  <si>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</si>
  <si>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</si>
  <si>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</si>
  <si>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</si>
  <si>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</si>
  <si>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</si>
  <si>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</si>
  <si>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</si>
  <si>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</si>
  <si>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</si>
  <si>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</si>
  <si>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</si>
  <si>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</si>
  <si>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</si>
  <si>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</si>
  <si>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</si>
  <si>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</si>
  <si>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</si>
  <si>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</si>
  <si>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</si>
  <si>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</si>
  <si>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</si>
  <si>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</si>
  <si>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</si>
  <si>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</si>
  <si>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</si>
  <si>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</si>
  <si>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</si>
  <si>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</si>
  <si>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</si>
  <si>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</si>
  <si>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</si>
  <si>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</si>
  <si>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</si>
  <si>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</si>
  <si>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</si>
  <si>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</si>
  <si>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</si>
  <si>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</si>
  <si>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</si>
  <si>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</si>
  <si>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</si>
  <si>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</si>
  <si>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</si>
  <si>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</si>
  <si>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</si>
  <si>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</si>
  <si>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</si>
  <si>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</si>
  <si>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</si>
  <si>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</si>
  <si>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</si>
  <si>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</si>
  <si>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</si>
  <si>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</si>
  <si>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</si>
  <si>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</si>
  <si>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</si>
  <si>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</si>
  <si>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</si>
  <si>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</si>
  <si>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</si>
  <si>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</si>
  <si>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</si>
  <si>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</si>
  <si>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</si>
  <si>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</si>
  <si>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</si>
  <si>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</si>
  <si>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</si>
  <si>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</si>
  <si>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</si>
  <si>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</si>
  <si>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</si>
  <si>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</si>
  <si>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</si>
  <si>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</si>
  <si>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</si>
  <si>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</si>
  <si>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</si>
  <si>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</si>
  <si>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</si>
  <si>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</si>
  <si>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</si>
  <si>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</si>
  <si>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</si>
  <si>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</si>
  <si>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</si>
  <si>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</si>
  <si>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</si>
  <si>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</si>
  <si>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</si>
  <si>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</si>
  <si>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</si>
  <si>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</si>
  <si>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</si>
  <si>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</si>
  <si>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</si>
  <si>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</si>
  <si>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</si>
  <si>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</si>
  <si>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</si>
  <si>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</si>
  <si>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</si>
  <si>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</si>
  <si>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</si>
  <si>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</si>
  <si>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</si>
  <si>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</si>
  <si>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</si>
  <si>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</si>
  <si>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</si>
  <si>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</si>
  <si>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</si>
  <si>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</si>
  <si>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</si>
  <si>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</si>
  <si>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</si>
  <si>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</si>
  <si>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</si>
  <si>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</si>
  <si>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</si>
  <si>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</si>
  <si>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</si>
  <si>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</si>
  <si>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</si>
  <si>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</si>
  <si>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</si>
  <si>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</si>
  <si>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</si>
  <si>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</si>
  <si>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</si>
  <si>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</si>
  <si>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</si>
  <si>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</si>
  <si>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</si>
  <si>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</si>
  <si>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</si>
  <si>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</si>
  <si>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</si>
  <si>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</si>
  <si>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</si>
  <si>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</si>
  <si>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</si>
  <si>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</si>
  <si>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</si>
  <si>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</si>
  <si>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</si>
  <si>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</si>
  <si>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</si>
  <si>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</si>
  <si>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</si>
  <si>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</si>
  <si>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</si>
  <si>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</si>
  <si>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</si>
  <si>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</si>
  <si>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</si>
  <si>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</si>
  <si>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</si>
  <si>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</si>
  <si>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</si>
  <si>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</si>
  <si>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</si>
  <si>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</si>
  <si>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</si>
  <si>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</si>
  <si>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</si>
  <si>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</si>
  <si>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</si>
  <si>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</si>
  <si>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</si>
  <si>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</si>
  <si>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</si>
  <si>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</si>
  <si>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</si>
  <si>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</si>
  <si>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</si>
  <si>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</si>
  <si>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</si>
  <si>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</si>
  <si>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</si>
  <si>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</si>
  <si>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</si>
  <si>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</si>
  <si>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</si>
  <si>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</si>
  <si>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</si>
  <si>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</si>
  <si>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</si>
  <si>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</si>
  <si>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</si>
  <si>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</si>
  <si>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</si>
  <si>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</si>
  <si>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</si>
  <si>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</si>
  <si>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</si>
  <si>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</si>
  <si>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</si>
  <si>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</si>
  <si>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</si>
  <si>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</si>
  <si>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</si>
  <si>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</si>
  <si>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</si>
  <si>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</si>
  <si>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</si>
  <si>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</si>
  <si>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</si>
  <si>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</si>
  <si>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</si>
  <si>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</si>
  <si>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</si>
  <si>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</si>
  <si>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</si>
  <si>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</si>
  <si>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</si>
  <si>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</si>
  <si>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</si>
  <si>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</si>
  <si>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</si>
  <si>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</si>
  <si>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</si>
  <si>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</si>
  <si>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</si>
  <si>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</si>
  <si>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</si>
  <si>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</si>
  <si>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</si>
  <si>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</si>
  <si>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</si>
  <si>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</si>
  <si>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</si>
  <si>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</si>
  <si>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</si>
  <si>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</si>
  <si>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</si>
  <si>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</si>
  <si>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</si>
  <si>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</si>
  <si>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</si>
  <si>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</si>
  <si>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</si>
  <si>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</si>
  <si>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</si>
  <si>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</si>
  <si>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</si>
  <si>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</si>
  <si>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</si>
  <si>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</si>
  <si>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</si>
  <si>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</si>
  <si>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</si>
  <si>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</si>
  <si>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</si>
  <si>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</si>
  <si>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</si>
  <si>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</si>
  <si>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</si>
  <si>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</si>
  <si>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</si>
  <si>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</si>
  <si>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</si>
  <si>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</si>
  <si>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</si>
  <si>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</si>
  <si>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</si>
  <si>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</si>
  <si>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</si>
  <si>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</si>
  <si>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</si>
  <si>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</si>
  <si>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</si>
  <si>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</si>
  <si>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</si>
  <si>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</si>
  <si>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</si>
  <si>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</si>
  <si>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</si>
  <si>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</si>
  <si>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</si>
  <si>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</si>
  <si>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</si>
  <si>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</si>
  <si>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</si>
  <si>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</si>
  <si>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</si>
  <si>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</si>
  <si>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</si>
  <si>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</si>
  <si>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</si>
  <si>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</si>
  <si>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</si>
  <si>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</si>
  <si>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</si>
  <si>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</si>
  <si>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</si>
  <si>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</si>
  <si>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</si>
  <si>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</si>
  <si>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</si>
  <si>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</si>
  <si>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</si>
  <si>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</si>
  <si>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</si>
  <si>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</si>
  <si>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</si>
  <si>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</si>
  <si>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</si>
  <si>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</si>
  <si>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</si>
  <si>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</si>
  <si>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</si>
  <si>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</si>
  <si>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</si>
  <si>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</si>
  <si>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</si>
  <si>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</si>
  <si>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</si>
  <si>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</si>
  <si>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</si>
  <si>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</si>
  <si>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</si>
  <si>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</si>
  <si>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</si>
  <si>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</si>
  <si>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</si>
  <si>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</si>
  <si>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</si>
  <si>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</si>
  <si>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</si>
  <si>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</si>
  <si>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</si>
  <si>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</si>
  <si>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</si>
  <si>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</si>
  <si>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</si>
  <si>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</si>
  <si>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</si>
  <si>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</si>
  <si>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</si>
  <si>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</si>
  <si>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</si>
  <si>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</si>
  <si>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</si>
  <si>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</si>
  <si>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</si>
  <si>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</si>
  <si>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</si>
  <si>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</si>
  <si>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</si>
  <si>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</si>
  <si>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</si>
  <si>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</si>
  <si>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</si>
  <si>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</si>
  <si>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</si>
  <si>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</si>
  <si>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</si>
  <si>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</si>
  <si>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</si>
  <si>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</si>
  <si>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</si>
  <si>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</si>
  <si>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</si>
  <si>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</si>
  <si>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</si>
  <si>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</si>
  <si>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</si>
  <si>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</si>
  <si>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</si>
  <si>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</si>
  <si>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</si>
  <si>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</si>
  <si>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</si>
  <si>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</si>
  <si>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</si>
  <si>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</si>
  <si>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</si>
  <si>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</si>
  <si>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</si>
  <si>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</si>
  <si>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</si>
  <si>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</si>
  <si>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</si>
  <si>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</si>
  <si>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</si>
  <si>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</si>
  <si>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</si>
  <si>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</si>
  <si>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</si>
  <si>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</si>
  <si>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</si>
  <si>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</si>
  <si>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</si>
  <si>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</si>
  <si>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</si>
  <si>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</si>
  <si>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</si>
  <si>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</si>
  <si>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</si>
  <si>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</si>
  <si>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</si>
  <si>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</si>
  <si>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</si>
  <si>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</si>
  <si>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</si>
  <si>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</si>
  <si>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</si>
  <si>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</si>
  <si>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</si>
  <si>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</si>
  <si>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</si>
  <si>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</si>
  <si>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</si>
  <si>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</si>
  <si>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</si>
  <si>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</si>
  <si>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</si>
  <si>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</si>
  <si>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</si>
  <si>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</si>
  <si>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</si>
  <si>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</si>
  <si>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</si>
  <si>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</si>
  <si>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</si>
  <si>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</si>
  <si>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</si>
  <si>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</si>
  <si>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</si>
  <si>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</si>
  <si>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</si>
  <si>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</si>
  <si>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</si>
  <si>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</si>
  <si>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</si>
  <si>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</si>
  <si>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</si>
  <si>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</si>
  <si>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</si>
  <si>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</si>
  <si>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</si>
  <si>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</si>
  <si>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</si>
  <si>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</si>
  <si>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</si>
  <si>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</si>
  <si>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</si>
  <si>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</si>
  <si>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</si>
  <si>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</si>
  <si>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</si>
  <si>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</si>
  <si>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</si>
  <si>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</si>
  <si>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</si>
  <si>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</si>
  <si>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</si>
  <si>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</si>
  <si>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</si>
  <si>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</si>
  <si>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</si>
  <si>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</si>
  <si>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</si>
  <si>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</si>
  <si>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</si>
  <si>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</si>
  <si>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</si>
  <si>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</si>
  <si>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</si>
  <si>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</si>
  <si>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</si>
  <si>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</si>
  <si>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</si>
  <si>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</si>
  <si>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</si>
  <si>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</si>
  <si>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</si>
  <si>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</si>
  <si>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</si>
  <si>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</si>
  <si>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</si>
  <si>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</si>
  <si>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</si>
  <si>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</si>
  <si>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</si>
  <si>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</si>
  <si>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</si>
  <si>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</si>
  <si>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</si>
  <si>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</si>
  <si>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</si>
  <si>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</si>
  <si>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</si>
  <si>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</si>
  <si>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</si>
  <si>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</si>
  <si>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</si>
  <si>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</si>
  <si>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</si>
  <si>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</si>
  <si>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</si>
  <si>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</si>
  <si>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</si>
  <si>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</si>
  <si>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</si>
  <si>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</si>
  <si>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</si>
  <si>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</si>
  <si>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</si>
  <si>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</si>
  <si>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</si>
  <si>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</si>
  <si>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</si>
  <si>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</si>
  <si>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</si>
  <si>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</si>
  <si>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</si>
  <si>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</si>
  <si>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</si>
  <si>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</si>
  <si>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</si>
  <si>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</si>
  <si>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</si>
  <si>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</si>
  <si>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</si>
  <si>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</si>
  <si>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</si>
  <si>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</si>
  <si>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</si>
  <si>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</si>
  <si>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</si>
  <si>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</si>
  <si>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</si>
  <si>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</si>
  <si>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</si>
  <si>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</si>
  <si>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</si>
  <si>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</si>
  <si>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</si>
  <si>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</si>
  <si>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</si>
  <si>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</si>
  <si>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</si>
  <si>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</si>
  <si>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</si>
  <si>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</si>
  <si>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</si>
  <si>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</si>
  <si>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</si>
  <si>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</si>
  <si>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</si>
  <si>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</si>
  <si>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</si>
  <si>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</si>
  <si>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</si>
  <si>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</si>
  <si>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</si>
  <si>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</si>
  <si>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</si>
  <si>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</si>
  <si>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</si>
  <si>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</si>
  <si>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</si>
  <si>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</si>
  <si>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</si>
  <si>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</si>
  <si>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</si>
  <si>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</si>
  <si>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</si>
  <si>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</si>
  <si>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</si>
  <si>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</si>
  <si>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</si>
  <si>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</si>
  <si>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</si>
  <si>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</si>
  <si>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</si>
  <si>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</si>
  <si>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</si>
  <si>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</si>
  <si>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</si>
  <si>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</si>
  <si>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</si>
  <si>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</si>
  <si>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</si>
  <si>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</si>
  <si>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</si>
  <si>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</si>
  <si>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</si>
  <si>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</si>
  <si>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</si>
  <si>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</si>
  <si>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</si>
  <si>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</si>
  <si>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</si>
  <si>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</si>
  <si>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</si>
  <si>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</si>
  <si>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</si>
  <si>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</si>
  <si>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</si>
  <si>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</si>
  <si>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</si>
  <si>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</si>
  <si>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</si>
  <si>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</si>
  <si>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</si>
  <si>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</si>
  <si>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</si>
  <si>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</si>
  <si>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</si>
  <si>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</si>
  <si>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</si>
  <si>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</si>
  <si>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</si>
  <si>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</si>
  <si>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</si>
  <si>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</si>
  <si>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</si>
  <si>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</si>
  <si>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</si>
  <si>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</si>
  <si>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</si>
  <si>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</si>
  <si>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</si>
  <si>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</si>
  <si>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</si>
  <si>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</si>
  <si>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</si>
  <si>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</si>
  <si>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</si>
  <si>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</si>
  <si>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</si>
  <si>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</si>
  <si>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</si>
  <si>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</si>
  <si>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</si>
  <si>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</si>
  <si>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</si>
  <si>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</si>
  <si>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</si>
  <si>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</si>
  <si>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</si>
  <si>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</si>
  <si>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</si>
  <si>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</si>
  <si>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</si>
  <si>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</si>
  <si>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</si>
  <si>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</si>
  <si>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</si>
  <si>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</si>
  <si>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</si>
  <si>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</si>
  <si>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</si>
  <si>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</si>
  <si>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</si>
  <si>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</si>
  <si>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</si>
  <si>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</si>
  <si>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</si>
  <si>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</si>
  <si>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</si>
  <si>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</si>
  <si>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</si>
  <si>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</si>
  <si>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</si>
  <si>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</si>
  <si>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</si>
  <si>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</si>
  <si>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</si>
  <si>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</si>
  <si>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</si>
  <si>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</si>
  <si>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</si>
  <si>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</si>
  <si>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</si>
  <si>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</si>
  <si>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</si>
  <si>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</si>
  <si>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</si>
  <si>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</si>
  <si>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</si>
  <si>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</si>
  <si>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</si>
  <si>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</si>
  <si>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</si>
  <si>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</si>
  <si>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</si>
  <si>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</si>
  <si>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</si>
  <si>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</si>
  <si>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</si>
  <si>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</si>
  <si>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</si>
  <si>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</si>
  <si>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</si>
  <si>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</si>
  <si>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</si>
  <si>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</si>
  <si>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</si>
  <si>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</si>
  <si>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</si>
  <si>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</si>
  <si>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</si>
  <si>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</si>
  <si>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</si>
  <si>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</si>
  <si>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</si>
  <si>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</si>
  <si>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</si>
  <si>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</si>
  <si>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</si>
  <si>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</si>
  <si>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</si>
  <si>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</si>
  <si>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</si>
  <si>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</si>
  <si>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</si>
  <si>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</si>
  <si>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</si>
  <si>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</si>
  <si>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</si>
  <si>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</si>
  <si>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</si>
  <si>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</si>
  <si>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</si>
  <si>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</si>
  <si>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</si>
  <si>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</si>
  <si>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</si>
  <si>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</si>
  <si>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</si>
  <si>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</si>
  <si>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</si>
  <si>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</si>
  <si>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</si>
  <si>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</si>
  <si>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</si>
  <si>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</si>
  <si>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</si>
  <si>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</si>
  <si>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</si>
  <si>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</si>
  <si>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</si>
  <si>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</si>
  <si>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</si>
  <si>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</si>
  <si>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</si>
  <si>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</si>
  <si>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</si>
  <si>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</si>
  <si>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</si>
  <si>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</si>
  <si>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</si>
  <si>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</si>
  <si>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</si>
  <si>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</si>
  <si>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</si>
  <si>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</si>
  <si>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</si>
  <si>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</si>
  <si>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</si>
  <si>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</si>
  <si>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</si>
  <si>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</si>
  <si>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</si>
  <si>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</si>
  <si>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</si>
  <si>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</si>
  <si>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</si>
  <si>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</si>
  <si>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</si>
  <si>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</si>
  <si>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</si>
  <si>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</si>
  <si>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</si>
  <si>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</si>
  <si>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</si>
  <si>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</si>
  <si>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</si>
  <si>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</si>
  <si>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</si>
  <si>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</si>
  <si>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</si>
  <si>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</si>
  <si>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</si>
  <si>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</si>
  <si>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</si>
  <si>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</si>
  <si>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</si>
  <si>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</si>
  <si>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</si>
  <si>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</si>
  <si>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</si>
  <si>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</si>
  <si>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</si>
  <si>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</si>
  <si>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</si>
  <si>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</si>
  <si>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</si>
  <si>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</si>
  <si>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</si>
  <si>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</si>
  <si>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</si>
  <si>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</si>
  <si>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</si>
  <si>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</si>
  <si>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</si>
  <si>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</si>
  <si>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</si>
  <si>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</si>
  <si>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</si>
  <si>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</si>
  <si>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</si>
  <si>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</si>
  <si>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</si>
  <si>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</si>
  <si>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</si>
  <si>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</si>
  <si>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</si>
  <si>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</si>
  <si>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</si>
  <si>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</si>
  <si>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</si>
  <si>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</si>
  <si>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</si>
  <si>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</si>
  <si>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</si>
  <si>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</si>
  <si>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</si>
  <si>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</si>
  <si>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</si>
  <si>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</si>
  <si>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</si>
  <si>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</si>
  <si>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</si>
  <si>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</si>
  <si>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</si>
  <si>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</si>
  <si>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</si>
  <si>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</si>
  <si>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</si>
  <si>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</si>
  <si>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</si>
  <si>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</si>
  <si>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</si>
  <si>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</si>
  <si>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</si>
  <si>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</si>
  <si>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</si>
  <si>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</si>
  <si>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</si>
  <si>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</si>
  <si>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</si>
  <si>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</si>
  <si>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</si>
  <si>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</si>
  <si>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</si>
  <si>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</si>
  <si>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</si>
  <si>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</si>
  <si>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</si>
  <si>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</si>
  <si>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</si>
  <si>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</si>
  <si>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</si>
  <si>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</si>
  <si>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</si>
  <si>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</si>
  <si>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</si>
  <si>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</si>
  <si>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</si>
  <si>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</si>
  <si>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</si>
  <si>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</si>
  <si>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</si>
  <si>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</si>
  <si>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</si>
  <si>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</si>
  <si>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</si>
  <si>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</si>
  <si>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</si>
  <si>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</si>
  <si>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</si>
  <si>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</si>
  <si>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</si>
  <si>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</si>
  <si>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</si>
  <si>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</si>
  <si>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</si>
  <si>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</si>
  <si>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</si>
  <si>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</si>
  <si>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</si>
  <si>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</si>
  <si>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</si>
  <si>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</si>
  <si>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</si>
  <si>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</si>
  <si>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</si>
  <si>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</si>
  <si>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</si>
  <si>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</si>
  <si>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</si>
  <si>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</si>
  <si>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</si>
  <si>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</si>
  <si>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</si>
  <si>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</si>
  <si>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</si>
  <si>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</si>
  <si>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</si>
  <si>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</si>
  <si>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</si>
  <si>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</si>
  <si>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</si>
  <si>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</si>
  <si>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</si>
  <si>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</si>
  <si>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</si>
  <si>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</si>
  <si>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</si>
  <si>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</si>
  <si>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</si>
  <si>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</si>
  <si>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</si>
  <si>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</si>
  <si>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</si>
  <si>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</si>
  <si>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</si>
  <si>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</si>
  <si>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</si>
  <si>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</si>
  <si>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</si>
  <si>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</si>
  <si>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</si>
  <si>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</si>
  <si>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</si>
  <si>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</si>
  <si>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</si>
  <si>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</si>
  <si>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</si>
  <si>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</si>
  <si>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</si>
  <si>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</si>
  <si>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</si>
  <si>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</si>
  <si>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</si>
  <si>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</si>
  <si>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</si>
  <si>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</si>
  <si>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</si>
  <si>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</si>
  <si>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</si>
  <si>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</si>
  <si>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</si>
  <si>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</si>
  <si>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</si>
  <si>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</si>
  <si>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</si>
  <si>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</si>
  <si>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</si>
  <si>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</si>
  <si>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</si>
  <si>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</si>
  <si>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</si>
  <si>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</si>
  <si>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</si>
  <si>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</si>
  <si>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</si>
  <si>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</si>
  <si>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</si>
  <si>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</si>
  <si>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</si>
  <si>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</si>
  <si>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</si>
  <si>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</si>
  <si>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</si>
  <si>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</si>
  <si>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</si>
  <si>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</si>
  <si>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</si>
  <si>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</si>
  <si>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</si>
  <si>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</si>
  <si>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</si>
  <si>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</si>
  <si>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</si>
  <si>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</si>
  <si>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</si>
  <si>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</si>
  <si>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</si>
  <si>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</si>
  <si>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</si>
  <si>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</si>
  <si>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</si>
  <si>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</si>
  <si>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</si>
  <si>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</si>
  <si>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</si>
  <si>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</si>
  <si>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</si>
  <si>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</si>
  <si>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</si>
  <si>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</si>
  <si>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</si>
  <si>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</si>
  <si>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</si>
  <si>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</si>
  <si>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</si>
  <si>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</si>
  <si>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</si>
  <si>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</si>
  <si>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</si>
  <si>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</si>
  <si>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</si>
  <si>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</si>
  <si>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</si>
  <si>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</si>
  <si>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</si>
  <si>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</si>
  <si>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</si>
  <si>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</si>
  <si>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</si>
  <si>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</si>
  <si>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</si>
  <si>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</si>
  <si>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</si>
  <si>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</si>
  <si>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</si>
  <si>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</si>
  <si>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</si>
  <si>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</si>
  <si>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</si>
  <si>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</si>
  <si>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</si>
  <si>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</si>
  <si>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</si>
  <si>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</si>
  <si>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</si>
  <si>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</si>
  <si>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</si>
  <si>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</si>
  <si>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</si>
  <si>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</si>
  <si>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</si>
  <si>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</si>
  <si>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</si>
  <si>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</si>
  <si>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</si>
  <si>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</si>
  <si>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</si>
  <si>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</si>
  <si>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</si>
  <si>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</si>
  <si>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</si>
  <si>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</si>
  <si>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</si>
  <si>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</si>
  <si>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</si>
  <si>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</si>
  <si>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</si>
  <si>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</si>
  <si>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</si>
  <si>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</si>
  <si>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</si>
  <si>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</si>
  <si>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</si>
  <si>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</si>
  <si>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</si>
  <si>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</si>
  <si>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</si>
  <si>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</si>
  <si>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</si>
  <si>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</si>
  <si>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</si>
  <si>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</si>
  <si>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</si>
  <si>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</si>
  <si>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</si>
  <si>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</si>
  <si>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</si>
  <si>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</si>
  <si>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</si>
  <si>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</si>
  <si>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</si>
  <si>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</si>
  <si>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</si>
  <si>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</si>
  <si>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</si>
  <si>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</si>
  <si>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</si>
  <si>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</si>
  <si>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</si>
  <si>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</si>
  <si>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</si>
  <si>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</si>
  <si>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</si>
  <si>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</si>
  <si>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</si>
  <si>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</si>
  <si>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</si>
  <si>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</si>
  <si>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</si>
  <si>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</si>
  <si>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</si>
  <si>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</si>
  <si>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</si>
  <si>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</si>
  <si>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</si>
  <si>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</si>
  <si>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</si>
  <si>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</si>
  <si>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</si>
  <si>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</si>
  <si>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</si>
  <si>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</si>
  <si>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</si>
  <si>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</si>
  <si>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</si>
  <si>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</si>
  <si>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</si>
  <si>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</si>
  <si>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</si>
  <si>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</si>
  <si>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</si>
  <si>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</si>
  <si>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</si>
  <si>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</si>
  <si>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</si>
  <si>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</si>
  <si>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</si>
  <si>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</si>
  <si>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</si>
  <si>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</si>
  <si>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</si>
  <si>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</si>
  <si>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</si>
  <si>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</si>
  <si>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</si>
  <si>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</si>
  <si>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</si>
  <si>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</si>
  <si>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</si>
  <si>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</si>
  <si>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</si>
  <si>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</si>
  <si>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</si>
  <si>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</si>
  <si>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</si>
  <si>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</si>
  <si>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</si>
  <si>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</si>
  <si>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</si>
  <si>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</si>
  <si>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</si>
  <si>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</si>
  <si>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</si>
  <si>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</si>
  <si>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</si>
  <si>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</si>
  <si>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</si>
  <si>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</si>
  <si>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</si>
  <si>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</si>
  <si>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</si>
  <si>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</si>
  <si>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</si>
  <si>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</si>
  <si>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</si>
  <si>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</si>
  <si>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</si>
  <si>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</si>
  <si>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</si>
  <si>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</si>
  <si>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</si>
  <si>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</si>
  <si>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</si>
  <si>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</si>
  <si>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</si>
  <si>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</si>
  <si>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</si>
  <si>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</si>
  <si>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</si>
  <si>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</si>
  <si>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</si>
  <si>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</si>
  <si>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</si>
  <si>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</si>
  <si>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</si>
  <si>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</si>
  <si>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</si>
  <si>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</si>
  <si>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</si>
  <si>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</si>
  <si>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</si>
  <si>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</si>
  <si>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</si>
  <si>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</si>
  <si>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</si>
  <si>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</si>
  <si>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</si>
  <si>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</si>
  <si>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</si>
  <si>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</si>
  <si>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</si>
  <si>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</si>
  <si>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</si>
  <si>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</si>
  <si>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</si>
  <si>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</si>
  <si>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</si>
  <si>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</si>
  <si>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</si>
  <si>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</si>
  <si>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</si>
  <si>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</si>
  <si>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</si>
  <si>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</si>
  <si>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</si>
  <si>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</si>
  <si>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</si>
  <si>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</si>
  <si>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</si>
  <si>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</si>
  <si>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</si>
  <si>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</si>
  <si>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</si>
  <si>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</si>
  <si>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</si>
  <si>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</si>
  <si>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</si>
  <si>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</si>
  <si>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</si>
  <si>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</si>
  <si>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</si>
  <si>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</si>
  <si>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</si>
  <si>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</si>
  <si>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</si>
  <si>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</si>
  <si>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</si>
  <si>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</si>
  <si>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</si>
  <si>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</si>
  <si>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</si>
  <si>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</si>
  <si>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</si>
  <si>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</si>
  <si>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</si>
  <si>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</si>
  <si>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</si>
  <si>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</si>
  <si>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</si>
  <si>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</si>
  <si>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</si>
  <si>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</si>
  <si>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</si>
  <si>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</si>
  <si>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</si>
  <si>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</si>
  <si>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</si>
  <si>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</si>
  <si>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</si>
  <si>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</si>
  <si>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</si>
  <si>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</si>
  <si>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</si>
  <si>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</si>
  <si>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</si>
  <si>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</si>
  <si>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</si>
  <si>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</si>
  <si>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</si>
  <si>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</si>
  <si>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</si>
  <si>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</si>
  <si>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</si>
  <si>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</si>
  <si>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</si>
  <si>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</si>
  <si>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</si>
  <si>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</si>
  <si>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</si>
  <si>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</si>
  <si>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</si>
  <si>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</si>
  <si>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</si>
  <si>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</si>
  <si>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</si>
  <si>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</si>
  <si>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</si>
  <si>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</si>
  <si>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</si>
  <si>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</si>
  <si>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</si>
  <si>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</si>
  <si>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</si>
  <si>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</si>
  <si>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</si>
  <si>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</si>
  <si>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</si>
  <si>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</si>
  <si>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</si>
  <si>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</si>
  <si>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</si>
  <si>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</si>
  <si>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</si>
  <si>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</si>
  <si>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</si>
  <si>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</si>
  <si>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</si>
  <si>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</si>
  <si>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</si>
  <si>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</si>
  <si>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</si>
  <si>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</si>
  <si>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</si>
  <si>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</si>
  <si>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</si>
  <si>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</si>
  <si>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</si>
  <si>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</si>
  <si>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</si>
  <si>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</si>
  <si>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</si>
  <si>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</si>
  <si>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</si>
  <si>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</si>
  <si>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</si>
  <si>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</si>
  <si>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</si>
  <si>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</si>
  <si>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</si>
  <si>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</si>
  <si>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</si>
  <si>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</si>
  <si>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</si>
  <si>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</si>
  <si>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</si>
  <si>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</si>
  <si>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</si>
  <si>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</si>
  <si>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</si>
  <si>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</si>
  <si>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</si>
  <si>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</si>
  <si>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</si>
  <si>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</si>
  <si>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</si>
  <si>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</si>
  <si>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</si>
  <si>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</si>
  <si>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</si>
  <si>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</si>
  <si>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</si>
  <si>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</si>
  <si>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</si>
  <si>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</si>
  <si>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</si>
  <si>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</si>
  <si>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</si>
  <si>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</si>
  <si>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</si>
  <si>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</si>
  <si>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</si>
  <si>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</si>
  <si>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</si>
  <si>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</si>
  <si>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</si>
  <si>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</si>
  <si>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</si>
  <si>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</si>
  <si>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</si>
  <si>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</si>
  <si>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</si>
  <si>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</si>
  <si>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</si>
  <si>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</si>
  <si>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</si>
  <si>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</si>
  <si>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</si>
  <si>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</si>
  <si>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</si>
  <si>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</si>
  <si>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</si>
  <si>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</si>
  <si>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</si>
  <si>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</si>
  <si>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</si>
  <si>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</si>
  <si>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</si>
  <si>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</si>
  <si>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</si>
  <si>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</si>
  <si>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</si>
  <si>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</si>
  <si>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</si>
  <si>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</si>
  <si>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</si>
  <si>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</si>
  <si>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</si>
  <si>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</si>
  <si>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</si>
  <si>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</si>
  <si>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</si>
  <si>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</si>
  <si>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</si>
  <si>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</si>
  <si>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</si>
  <si>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</si>
  <si>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</si>
  <si>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</si>
  <si>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</si>
  <si>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</si>
  <si>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</si>
  <si>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</si>
  <si>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</si>
  <si>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</si>
  <si>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</si>
  <si>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</si>
  <si>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</si>
  <si>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</si>
  <si>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</si>
  <si>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</si>
  <si>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</si>
  <si>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</si>
  <si>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</si>
  <si>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</si>
  <si>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</si>
  <si>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</si>
  <si>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</si>
  <si>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</si>
  <si>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</si>
  <si>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</si>
  <si>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</si>
  <si>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</si>
  <si>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</si>
  <si>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</si>
  <si>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</si>
  <si>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</si>
  <si>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</si>
  <si>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</si>
  <si>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</si>
  <si>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</si>
  <si>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</si>
  <si>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</si>
  <si>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</si>
  <si>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</si>
  <si>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</si>
  <si>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</si>
  <si>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</si>
  <si>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</si>
  <si>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</si>
  <si>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</si>
  <si>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</si>
  <si>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</si>
  <si>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</si>
  <si>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</si>
  <si>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</si>
  <si>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</si>
  <si>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</si>
  <si>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</si>
  <si>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</si>
  <si>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</si>
  <si>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</si>
  <si>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</si>
  <si>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</si>
  <si>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</si>
  <si>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</si>
  <si>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</si>
  <si>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</si>
  <si>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</si>
  <si>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</si>
  <si>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</si>
  <si>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</si>
  <si>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</si>
  <si>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</si>
  <si>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</si>
  <si>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</si>
  <si>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</si>
  <si>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</si>
  <si>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</si>
  <si>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</si>
  <si>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</si>
  <si>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</si>
  <si>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</si>
  <si>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</si>
  <si>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</si>
  <si>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</si>
  <si>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</si>
  <si>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</si>
  <si>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</si>
  <si>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</si>
  <si>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</si>
  <si>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</si>
  <si>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</si>
  <si>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</si>
  <si>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</si>
  <si>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</si>
  <si>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</si>
  <si>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</si>
  <si>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</si>
  <si>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</si>
  <si>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</si>
  <si>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</si>
  <si>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</si>
  <si>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</si>
  <si>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</si>
  <si>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</si>
  <si>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</si>
  <si>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</si>
  <si>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</si>
  <si>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</si>
  <si>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</si>
  <si>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</si>
  <si>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</si>
  <si>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</si>
  <si>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</si>
  <si>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</si>
  <si>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</si>
  <si>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</si>
  <si>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</si>
  <si>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</si>
  <si>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</si>
  <si>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</si>
  <si>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</si>
  <si>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</si>
  <si>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</si>
  <si>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</si>
  <si>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</si>
  <si>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</si>
  <si>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</si>
  <si>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</si>
  <si>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</si>
  <si>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</si>
  <si>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</si>
  <si>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</si>
  <si>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</si>
  <si>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</si>
  <si>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</si>
  <si>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</si>
  <si>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</si>
  <si>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</si>
  <si>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</si>
  <si>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</si>
  <si>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</si>
  <si>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</si>
  <si>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</si>
  <si>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</si>
  <si>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</si>
  <si>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</si>
  <si>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</si>
  <si>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</si>
  <si>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</si>
  <si>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</si>
  <si>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</si>
  <si>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</si>
  <si>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</si>
  <si>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</si>
  <si>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</si>
  <si>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</si>
  <si>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</si>
  <si>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</si>
  <si>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</si>
  <si>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</si>
  <si>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</si>
  <si>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</si>
  <si>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</si>
  <si>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</si>
  <si>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</si>
  <si>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</si>
  <si>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</si>
  <si>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</si>
  <si>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</si>
  <si>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</si>
  <si>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</si>
  <si>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</si>
  <si>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</si>
  <si>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</si>
  <si>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</si>
  <si>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</si>
  <si>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</si>
  <si>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</si>
  <si>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</si>
  <si>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</si>
  <si>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</si>
  <si>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</si>
  <si>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</si>
  <si>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</si>
  <si>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</si>
  <si>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</si>
  <si>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</si>
  <si>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</si>
  <si>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</si>
  <si>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</si>
  <si>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</si>
  <si>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</si>
  <si>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</si>
  <si>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</si>
  <si>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</si>
  <si>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</si>
  <si>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</si>
  <si>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</si>
  <si>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</si>
  <si>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</si>
  <si>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</si>
  <si>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</si>
  <si>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</si>
  <si>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</si>
  <si>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</si>
  <si>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</si>
  <si>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</si>
  <si>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</si>
  <si>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</si>
  <si>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</si>
  <si>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</si>
  <si>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</si>
  <si>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</si>
  <si>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</si>
  <si>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</si>
  <si>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</si>
  <si>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</si>
  <si>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</si>
  <si>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</si>
  <si>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</si>
  <si>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</si>
  <si>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</si>
  <si>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</si>
  <si>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</si>
  <si>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</si>
  <si>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</si>
  <si>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</si>
  <si>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</si>
  <si>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</si>
  <si>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</si>
  <si>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</si>
  <si>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</si>
  <si>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</si>
  <si>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</si>
  <si>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</si>
  <si>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</si>
  <si>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</si>
  <si>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</si>
  <si>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</si>
  <si>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</si>
  <si>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</si>
  <si>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</si>
  <si>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</si>
  <si>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</si>
  <si>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</si>
  <si>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</si>
  <si>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</si>
  <si>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</si>
  <si>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</si>
  <si>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</si>
  <si>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</si>
  <si>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</si>
  <si>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</si>
  <si>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</si>
  <si>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</si>
  <si>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</si>
  <si>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</si>
  <si>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</si>
  <si>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</si>
  <si>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</si>
  <si>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</si>
  <si>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</si>
  <si>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</si>
  <si>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</si>
  <si>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</si>
  <si>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</si>
  <si>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</si>
  <si>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</si>
  <si>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</si>
  <si>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</si>
  <si>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</si>
  <si>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</si>
  <si>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</si>
  <si>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</si>
  <si>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</si>
  <si>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</si>
  <si>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</si>
  <si>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</si>
  <si>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</si>
  <si>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</si>
  <si>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</si>
  <si>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</si>
  <si>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</si>
  <si>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</si>
  <si>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</si>
  <si>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</si>
  <si>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</si>
  <si>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</si>
  <si>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</si>
  <si>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</si>
  <si>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</si>
  <si>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</si>
  <si>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</si>
  <si>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</si>
  <si>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</si>
  <si>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</si>
  <si>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</si>
  <si>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</si>
  <si>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</si>
  <si>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</si>
  <si>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</si>
  <si>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</si>
  <si>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</si>
  <si>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</si>
  <si>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</si>
  <si>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</si>
  <si>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</si>
  <si>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</si>
  <si>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</si>
  <si>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</si>
  <si>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</si>
  <si>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</si>
  <si>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</si>
  <si>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</si>
  <si>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</si>
  <si>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</si>
  <si>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</si>
  <si>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</si>
  <si>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</si>
  <si>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</si>
  <si>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</si>
  <si>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</si>
  <si>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</si>
  <si>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</si>
  <si>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</si>
  <si>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</si>
  <si>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</si>
  <si>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</si>
  <si>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</si>
  <si>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</si>
  <si>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</si>
  <si>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</si>
  <si>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</si>
  <si>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</si>
  <si>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</si>
  <si>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</si>
  <si>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</si>
  <si>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</si>
  <si>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</si>
  <si>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</si>
  <si>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</si>
  <si>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</si>
  <si>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</si>
  <si>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</si>
  <si>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</si>
  <si>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</si>
  <si>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</si>
  <si>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</si>
  <si>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</si>
  <si>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</si>
  <si>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</si>
  <si>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</si>
  <si>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</si>
  <si>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</si>
  <si>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</si>
  <si>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</si>
  <si>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</si>
  <si>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</si>
  <si>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</si>
  <si>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</si>
  <si>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</si>
  <si>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</si>
  <si>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</si>
  <si>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</si>
  <si>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</si>
  <si>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</si>
  <si>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</si>
  <si>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</si>
  <si>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</si>
  <si>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</si>
  <si>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</si>
  <si>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</si>
  <si>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</si>
  <si>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</si>
  <si>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</si>
  <si>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</si>
  <si>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</si>
  <si>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</si>
  <si>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</si>
  <si>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</si>
  <si>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</si>
  <si>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</si>
  <si>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</si>
  <si>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</si>
  <si>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</si>
  <si>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</si>
  <si>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</si>
  <si>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</si>
  <si>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</si>
  <si>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</si>
  <si>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</si>
  <si>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</si>
  <si>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</si>
  <si>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</si>
  <si>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</si>
  <si>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</si>
  <si>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</si>
  <si>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</si>
  <si>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</si>
  <si>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</si>
  <si>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</si>
  <si>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</si>
  <si>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</si>
  <si>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</si>
  <si>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</si>
  <si>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</si>
  <si>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</si>
  <si>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</si>
  <si>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</si>
  <si>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</si>
  <si>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</si>
  <si>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</si>
  <si>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</si>
  <si>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</si>
  <si>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</si>
  <si>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</si>
  <si>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</si>
  <si>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</si>
  <si>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</si>
  <si>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</si>
  <si>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</si>
  <si>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</si>
  <si>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</si>
  <si>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</si>
  <si>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</si>
  <si>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</si>
  <si>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</si>
  <si>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</si>
  <si>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</si>
  <si>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</si>
  <si>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</si>
  <si>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</si>
  <si>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</si>
  <si>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</si>
  <si>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</si>
  <si>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</si>
  <si>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</si>
  <si>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</si>
  <si>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</si>
  <si>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</si>
  <si>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</si>
  <si>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</si>
  <si>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</si>
  <si>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</si>
  <si>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</si>
  <si>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</si>
  <si>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</si>
  <si>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</si>
  <si>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</si>
  <si>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</si>
  <si>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</si>
  <si>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</si>
  <si>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</si>
  <si>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</si>
  <si>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</si>
  <si>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</si>
  <si>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</si>
  <si>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</si>
  <si>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</si>
  <si>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</si>
  <si>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</si>
  <si>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</si>
  <si>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</si>
  <si>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</si>
  <si>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</si>
  <si>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</si>
  <si>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</si>
  <si>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</si>
  <si>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</si>
  <si>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</si>
  <si>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</si>
  <si>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</si>
  <si>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</si>
  <si>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</si>
  <si>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</si>
  <si>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</si>
  <si>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</si>
  <si>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</si>
  <si>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</si>
  <si>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</si>
  <si>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</si>
  <si>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</si>
  <si>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</si>
  <si>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</si>
  <si>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</si>
  <si>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</si>
  <si>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</si>
  <si>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</si>
  <si>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</si>
  <si>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</si>
  <si>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</si>
  <si>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</si>
  <si>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</si>
  <si>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</si>
  <si>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</si>
  <si>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</si>
  <si>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</si>
  <si>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</si>
  <si>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</si>
  <si>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</si>
  <si>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</si>
  <si>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</si>
  <si>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</si>
  <si>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</si>
  <si>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</si>
  <si>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</si>
  <si>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</si>
  <si>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</si>
  <si>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</si>
  <si>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</si>
  <si>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</si>
  <si>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</si>
  <si>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</si>
  <si>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</si>
  <si>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</si>
  <si>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</si>
  <si>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</si>
  <si>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</si>
  <si>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</si>
  <si>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</si>
  <si>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</si>
  <si>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</si>
  <si>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</si>
  <si>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</si>
  <si>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</si>
  <si>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</si>
  <si>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</si>
  <si>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</si>
  <si>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</si>
  <si>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</si>
  <si>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</si>
  <si>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</si>
  <si>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</si>
  <si>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</si>
  <si>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</si>
  <si>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</si>
  <si>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</si>
  <si>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</si>
  <si>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</si>
  <si>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</si>
  <si>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</si>
  <si>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</si>
  <si>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</si>
  <si>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</si>
  <si>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</si>
  <si>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</si>
  <si>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</si>
  <si>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</si>
  <si>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</si>
  <si>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</si>
  <si>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</si>
  <si>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</si>
  <si>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</si>
  <si>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</si>
  <si>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</si>
  <si>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</si>
  <si>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</si>
  <si>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</si>
  <si>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</si>
  <si>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</si>
  <si>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</si>
  <si>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</si>
  <si>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</si>
  <si>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</si>
  <si>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</si>
  <si>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</si>
  <si>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</si>
  <si>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</si>
  <si>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</si>
  <si>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</si>
  <si>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</si>
  <si>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</si>
  <si>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</si>
  <si>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</si>
  <si>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</si>
  <si>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</si>
  <si>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</si>
  <si>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</si>
  <si>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</si>
  <si>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</si>
  <si>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</si>
  <si>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</si>
  <si>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</si>
  <si>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</si>
  <si>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</si>
  <si>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</si>
  <si>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</si>
  <si>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</si>
  <si>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</si>
  <si>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</si>
  <si>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</si>
  <si>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</si>
  <si>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</si>
  <si>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</si>
  <si>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</si>
  <si>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</si>
  <si>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</si>
  <si>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</si>
  <si>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</si>
  <si>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</si>
  <si>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</si>
  <si>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</si>
  <si>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</si>
  <si>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</si>
  <si>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</si>
  <si>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</si>
  <si>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</si>
  <si>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</si>
  <si>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</si>
  <si>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</si>
  <si>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</si>
  <si>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</si>
  <si>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</si>
  <si>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</si>
  <si>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</si>
  <si>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</si>
  <si>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</si>
  <si>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</si>
  <si>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</si>
  <si>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</si>
  <si>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</si>
  <si>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</si>
  <si>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</si>
  <si>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</si>
  <si>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</si>
  <si>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</si>
  <si>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</si>
  <si>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</si>
  <si>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</si>
  <si>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</si>
  <si>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</si>
  <si>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</si>
  <si>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</si>
  <si>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</si>
  <si>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</si>
  <si>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</si>
  <si>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</si>
  <si>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</si>
  <si>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</si>
  <si>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</si>
  <si>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</si>
  <si>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</si>
  <si>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</si>
  <si>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</si>
  <si>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</si>
  <si>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</si>
  <si>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</si>
  <si>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</si>
  <si>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</si>
  <si>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</si>
  <si>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</si>
  <si>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</si>
  <si>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</si>
  <si>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</si>
  <si>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</si>
  <si>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</si>
  <si>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</si>
  <si>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</si>
  <si>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</si>
  <si>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</si>
  <si>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</si>
  <si>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</si>
  <si>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</si>
  <si>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</si>
  <si>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</si>
  <si>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</si>
  <si>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</si>
  <si>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</si>
  <si>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</si>
  <si>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</si>
  <si>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</si>
  <si>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</si>
  <si>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</si>
  <si>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</si>
  <si>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</si>
  <si>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</si>
  <si>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</si>
  <si>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</si>
  <si>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</si>
  <si>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</si>
  <si>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</si>
  <si>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</si>
  <si>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</si>
  <si>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</si>
  <si>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</si>
  <si>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</si>
  <si>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</si>
  <si>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</si>
  <si>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</si>
  <si>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</si>
  <si>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</si>
  <si>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</si>
  <si>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</si>
  <si>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</si>
  <si>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</si>
  <si>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</si>
  <si>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</si>
  <si>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</si>
  <si>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</si>
  <si>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</si>
  <si>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</si>
  <si>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</si>
  <si>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</si>
  <si>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</si>
  <si>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</si>
  <si>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</si>
  <si>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</si>
  <si>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</si>
  <si>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</si>
  <si>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</si>
  <si>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</si>
  <si>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</si>
  <si>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</si>
  <si>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</si>
  <si>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</si>
  <si>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</si>
  <si>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</si>
  <si>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</si>
  <si>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</si>
  <si>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</si>
  <si>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</si>
  <si>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</si>
  <si>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</si>
  <si>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</si>
  <si>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</si>
  <si>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</si>
  <si>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</si>
  <si>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</si>
  <si>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</si>
  <si>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</si>
  <si>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</si>
  <si>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</si>
  <si>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</si>
  <si>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</si>
  <si>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</si>
  <si>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</si>
  <si>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</si>
  <si>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</si>
  <si>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</si>
  <si>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</si>
  <si>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</si>
  <si>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</si>
  <si>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</si>
  <si>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</si>
  <si>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</si>
  <si>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</si>
  <si>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</si>
  <si>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</si>
  <si>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</si>
  <si>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</si>
  <si>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</si>
  <si>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</si>
  <si>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</si>
  <si>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</si>
  <si>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</si>
  <si>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</si>
  <si>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</si>
  <si>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</si>
  <si>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</si>
  <si>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</si>
  <si>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</si>
  <si>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</si>
  <si>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</si>
  <si>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</si>
  <si>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</si>
  <si>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</si>
  <si>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</si>
  <si>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</si>
  <si>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</si>
  <si>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</si>
  <si>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</si>
  <si>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</si>
  <si>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</si>
  <si>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</si>
  <si>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</si>
  <si>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</si>
  <si>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</si>
  <si>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</si>
  <si>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</si>
  <si>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</si>
  <si>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</si>
  <si>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</si>
  <si>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</si>
  <si>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</si>
  <si>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</si>
  <si>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</si>
  <si>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</si>
  <si>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</si>
  <si>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</si>
  <si>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</si>
  <si>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</si>
  <si>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</si>
  <si>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</si>
  <si>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</si>
  <si>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</si>
  <si>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</si>
  <si>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</si>
  <si>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</si>
  <si>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</si>
  <si>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</si>
  <si>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</si>
  <si>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</si>
  <si>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</si>
  <si>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</si>
  <si>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</si>
  <si>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</si>
  <si>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</si>
  <si>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</si>
  <si>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</si>
  <si>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</si>
  <si>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</si>
  <si>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</si>
  <si>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</si>
  <si>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</si>
  <si>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</si>
  <si>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</si>
  <si>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</si>
  <si>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</si>
  <si>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</si>
  <si>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</si>
  <si>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</si>
  <si>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</si>
  <si>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</si>
  <si>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</si>
  <si>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</si>
  <si>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</si>
  <si>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</si>
  <si>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</si>
  <si>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</si>
  <si>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</si>
  <si>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</si>
  <si>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</si>
  <si>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</si>
  <si>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</si>
  <si>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</si>
  <si>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</si>
  <si>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</si>
  <si>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</si>
  <si>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</si>
  <si>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</si>
  <si>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</si>
  <si>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</si>
  <si>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</si>
  <si>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</si>
  <si>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</si>
  <si>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</si>
  <si>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</si>
  <si>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</si>
  <si>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</si>
  <si>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</si>
  <si>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</si>
  <si>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</si>
  <si>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</si>
  <si>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</si>
  <si>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</si>
  <si>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</si>
  <si>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</si>
  <si>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</si>
  <si>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</si>
  <si>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</si>
  <si>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</si>
  <si>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</si>
  <si>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</si>
  <si>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</si>
  <si>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</si>
  <si>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</si>
  <si>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</si>
  <si>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</si>
  <si>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</si>
  <si>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</si>
  <si>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</si>
  <si>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</si>
  <si>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</si>
  <si>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</si>
  <si>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</si>
  <si>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</si>
  <si>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</si>
  <si>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</si>
  <si>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</si>
  <si>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</si>
  <si>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</si>
  <si>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</si>
  <si>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</si>
  <si>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</si>
  <si>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</si>
  <si>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</si>
  <si>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</si>
  <si>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</si>
  <si>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</si>
  <si>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</si>
  <si>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</si>
  <si>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</si>
  <si>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</si>
  <si>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</si>
  <si>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</si>
  <si>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</si>
  <si>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</si>
  <si>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</si>
  <si>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</si>
  <si>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</si>
  <si>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</si>
  <si>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</si>
  <si>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</si>
  <si>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</si>
  <si>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</si>
  <si>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</si>
  <si>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</si>
  <si>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</si>
  <si>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</si>
  <si>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</si>
  <si>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</si>
  <si>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</si>
  <si>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</si>
  <si>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</si>
  <si>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</si>
  <si>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</si>
  <si>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</si>
  <si>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</si>
  <si>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</si>
  <si>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</si>
  <si>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</si>
  <si>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</si>
  <si>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</si>
  <si>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</si>
  <si>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</si>
  <si>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</si>
  <si>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</si>
  <si>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</si>
  <si>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</si>
  <si>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</si>
  <si>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</si>
  <si>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</si>
  <si>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</si>
  <si>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</si>
  <si>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</si>
  <si>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</si>
  <si>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</si>
  <si>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</si>
  <si>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</si>
  <si>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</si>
  <si>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</si>
  <si>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</si>
  <si>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</si>
  <si>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</si>
  <si>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</si>
  <si>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</si>
  <si>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</si>
  <si>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</si>
  <si>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</si>
  <si>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</si>
  <si>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</si>
  <si>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</si>
  <si>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</si>
  <si>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</si>
  <si>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</si>
  <si>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</si>
  <si>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</si>
  <si>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</si>
  <si>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</si>
  <si>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</si>
  <si>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</si>
  <si>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</si>
  <si>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</si>
  <si>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</si>
  <si>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</si>
  <si>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</si>
  <si>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</si>
  <si>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</si>
  <si>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</si>
  <si>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</si>
  <si>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</si>
  <si>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</si>
  <si>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</si>
  <si>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</si>
  <si>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</si>
  <si>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</si>
  <si>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</si>
  <si>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</si>
  <si>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</si>
  <si>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</si>
  <si>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</si>
  <si>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</si>
  <si>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</si>
  <si>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</si>
  <si>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</si>
  <si>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</si>
  <si>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</si>
  <si>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</si>
  <si>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</si>
  <si>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</si>
  <si>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</si>
  <si>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</si>
  <si>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</si>
  <si>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</si>
  <si>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</si>
  <si>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</si>
  <si>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</si>
  <si>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</si>
  <si>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</si>
  <si>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</si>
  <si>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</si>
  <si>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</si>
  <si>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</si>
  <si>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</si>
  <si>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</si>
  <si>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</si>
  <si>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</si>
  <si>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</si>
  <si>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</si>
  <si>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</si>
  <si>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</si>
  <si>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</si>
  <si>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</si>
  <si>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</si>
  <si>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</si>
  <si>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</si>
  <si>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</si>
  <si>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</si>
  <si>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</si>
  <si>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</si>
  <si>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</si>
  <si>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</si>
  <si>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</si>
  <si>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</si>
  <si>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</si>
  <si>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</si>
  <si>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</si>
  <si>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</si>
  <si>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</si>
  <si>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</si>
  <si>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</si>
  <si>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</si>
  <si>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</si>
  <si>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</si>
  <si>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</si>
  <si>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</si>
  <si>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</si>
  <si>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</si>
  <si>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</si>
  <si>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</si>
  <si>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</si>
  <si>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</si>
  <si>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</si>
  <si>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</si>
  <si>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</si>
  <si>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</si>
  <si>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</si>
  <si>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</si>
  <si>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</si>
  <si>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</si>
  <si>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</si>
  <si>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</si>
  <si>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</si>
  <si>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</si>
  <si>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</si>
  <si>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</si>
  <si>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</si>
  <si>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</si>
  <si>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</si>
  <si>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</si>
  <si>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</si>
  <si>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</si>
  <si>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</si>
  <si>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</si>
  <si>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</si>
  <si>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</si>
  <si>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</si>
  <si>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</si>
  <si>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</si>
  <si>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</si>
  <si>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</si>
  <si>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</si>
  <si>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</si>
  <si>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</si>
  <si>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</si>
  <si>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</si>
  <si>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</si>
  <si>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</si>
  <si>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</si>
  <si>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</si>
  <si>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</si>
  <si>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</si>
  <si>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</si>
  <si>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</si>
  <si>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</si>
  <si>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</si>
  <si>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</si>
  <si>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</si>
  <si>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</si>
  <si>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</si>
  <si>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</si>
  <si>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</si>
  <si>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</si>
  <si>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</si>
  <si>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</si>
  <si>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</si>
  <si>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</si>
  <si>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</si>
  <si>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</si>
  <si>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</si>
  <si>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</si>
  <si>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</si>
  <si>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</si>
  <si>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</si>
  <si>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</si>
  <si>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</si>
  <si>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</si>
  <si>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</si>
  <si>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</si>
  <si>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</si>
  <si>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</si>
  <si>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</si>
  <si>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</si>
  <si>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</si>
  <si>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</si>
  <si>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</si>
  <si>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</si>
  <si>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</si>
  <si>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</si>
  <si>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</si>
  <si>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</si>
  <si>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</si>
  <si>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</si>
  <si>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</si>
  <si>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</si>
  <si>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</si>
  <si>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</si>
  <si>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</si>
  <si>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</si>
  <si>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</si>
  <si>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</si>
  <si>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</si>
  <si>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</si>
  <si>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</si>
  <si>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</si>
  <si>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</si>
  <si>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</si>
  <si>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</si>
  <si>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</si>
  <si>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</si>
  <si>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</si>
  <si>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</si>
  <si>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</si>
  <si>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</si>
  <si>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</si>
  <si>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</si>
  <si>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</si>
  <si>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</si>
  <si>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</si>
  <si>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</si>
  <si>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</si>
  <si>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</si>
  <si>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</si>
  <si>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</si>
  <si>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</si>
  <si>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</si>
  <si>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</si>
  <si>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</si>
  <si>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</si>
  <si>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</si>
  <si>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</si>
  <si>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</si>
  <si>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</si>
  <si>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</si>
  <si>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</si>
  <si>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</si>
  <si>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</si>
  <si>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</si>
  <si>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</si>
  <si>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</si>
  <si>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</si>
  <si>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</si>
  <si>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</si>
  <si>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</si>
  <si>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</si>
  <si>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</si>
  <si>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</si>
  <si>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</si>
  <si>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</si>
  <si>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</si>
  <si>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</si>
  <si>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</si>
  <si>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</si>
  <si>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</si>
  <si>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</si>
  <si>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</si>
  <si>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</si>
  <si>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</si>
  <si>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</si>
  <si>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</si>
  <si>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</si>
  <si>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</si>
  <si>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</si>
  <si>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</si>
  <si>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</si>
  <si>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</si>
  <si>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</si>
  <si>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</si>
  <si>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</si>
  <si>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</si>
  <si>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</si>
  <si>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</si>
  <si>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</si>
  <si>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</si>
  <si>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</si>
  <si>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</si>
  <si>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</si>
  <si>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</si>
  <si>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</si>
  <si>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</si>
  <si>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</si>
  <si>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</si>
  <si>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</si>
  <si>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</si>
  <si>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</si>
  <si>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</si>
  <si>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</si>
  <si>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</si>
  <si>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</si>
  <si>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</si>
  <si>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</si>
  <si>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</si>
  <si>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</si>
  <si>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</si>
  <si>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</si>
  <si>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</si>
  <si>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</si>
  <si>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</si>
  <si>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</si>
  <si>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</si>
  <si>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</si>
  <si>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</si>
  <si>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</si>
  <si>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</si>
  <si>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</si>
  <si>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</si>
  <si>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</si>
  <si>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</si>
  <si>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</si>
  <si>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</si>
  <si>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</si>
  <si>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</si>
  <si>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</si>
  <si>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</si>
  <si>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</si>
  <si>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</si>
  <si>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</si>
  <si>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</si>
  <si>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</si>
  <si>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</si>
  <si>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</si>
  <si>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</si>
  <si>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</si>
  <si>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</si>
  <si>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</si>
  <si>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</si>
  <si>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</si>
  <si>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</si>
  <si>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</si>
  <si>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</si>
  <si>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</si>
  <si>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</si>
  <si>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</si>
  <si>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</si>
  <si>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</si>
  <si>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</si>
  <si>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</si>
  <si>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</si>
  <si>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</si>
  <si>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</si>
  <si>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</si>
  <si>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</si>
  <si>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</si>
  <si>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</si>
  <si>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</si>
  <si>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</si>
  <si>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</si>
  <si>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</si>
  <si>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</si>
  <si>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</si>
  <si>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</si>
  <si>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</si>
  <si>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</si>
  <si>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</si>
  <si>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</si>
  <si>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</si>
  <si>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</si>
  <si>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</si>
  <si>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</si>
  <si>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</si>
  <si>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</si>
  <si>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</si>
  <si>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</si>
  <si>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</si>
  <si>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</si>
  <si>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</si>
  <si>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</si>
  <si>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</si>
  <si>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</si>
  <si>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</si>
  <si>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</si>
  <si>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</si>
  <si>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</si>
  <si>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</si>
  <si>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</si>
  <si>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</si>
  <si>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</si>
  <si>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</si>
  <si>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</si>
  <si>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</si>
  <si>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</si>
  <si>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</si>
  <si>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</si>
  <si>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</si>
  <si>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</si>
  <si>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</si>
  <si>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</si>
  <si>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</si>
  <si>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</si>
  <si>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</si>
  <si>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</si>
  <si>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</si>
  <si>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</si>
  <si>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</si>
  <si>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</si>
  <si>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</si>
  <si>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</si>
  <si>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</si>
  <si>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</si>
  <si>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</si>
  <si>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</si>
  <si>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</si>
  <si>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</si>
  <si>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</si>
  <si>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</si>
  <si>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</si>
  <si>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</si>
  <si>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</si>
  <si>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</si>
  <si>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</si>
  <si>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</si>
  <si>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</si>
  <si>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</si>
  <si>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</si>
  <si>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</si>
  <si>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</si>
  <si>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</si>
  <si>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</si>
  <si>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</si>
  <si>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</si>
  <si>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</si>
  <si>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</si>
  <si>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</si>
  <si>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</si>
  <si>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</si>
  <si>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</si>
  <si>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</si>
  <si>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</si>
  <si>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</si>
  <si>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</si>
  <si>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</si>
  <si>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</si>
  <si>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</si>
  <si>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</si>
  <si>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</si>
  <si>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</si>
  <si>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</si>
  <si>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</si>
  <si>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</si>
  <si>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</si>
  <si>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</si>
  <si>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</si>
  <si>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</si>
  <si>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</si>
  <si>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</si>
  <si>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</si>
  <si>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</si>
  <si>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</si>
  <si>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</si>
  <si>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</si>
  <si>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</si>
  <si>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</si>
  <si>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</si>
  <si>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</si>
  <si>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</si>
  <si>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</si>
  <si>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</si>
  <si>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</si>
  <si>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</si>
  <si>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</si>
  <si>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</si>
  <si>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</si>
  <si>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</si>
  <si>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</si>
  <si>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</si>
  <si>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</si>
  <si>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</si>
  <si>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</si>
  <si>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</si>
  <si>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</si>
  <si>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</si>
  <si>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</si>
  <si>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</si>
  <si>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</si>
  <si>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</si>
  <si>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</si>
  <si>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</si>
  <si>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</si>
  <si>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</si>
  <si>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</si>
  <si>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</si>
  <si>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</si>
  <si>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</si>
  <si>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</si>
  <si>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</si>
  <si>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</si>
  <si>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</si>
  <si>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</si>
  <si>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</si>
  <si>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</si>
  <si>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</si>
  <si>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</si>
  <si>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</si>
  <si>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</si>
  <si>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</si>
  <si>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</si>
  <si>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</si>
  <si>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</si>
  <si>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</si>
  <si>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</si>
  <si>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</si>
  <si>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</si>
  <si>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</si>
  <si>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</si>
  <si>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</si>
  <si>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</si>
  <si>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</si>
  <si>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</si>
  <si>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</si>
  <si>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</si>
  <si>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</si>
  <si>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</si>
  <si>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</si>
  <si>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</si>
  <si>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</si>
  <si>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</si>
  <si>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</si>
  <si>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</si>
  <si>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</si>
  <si>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</si>
  <si>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</si>
  <si>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</si>
  <si>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</si>
  <si>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</si>
  <si>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</si>
  <si>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</si>
  <si>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24 Aug 2026</t>
  </si>
  <si>
    <t>217</t>
  </si>
  <si>
    <t>107040</t>
  </si>
  <si>
    <t>162029</t>
  </si>
  <si>
    <t>S35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</si>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</sst>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46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48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4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44">
      <pivotArea outline="0" collapsedLevelsAreSubtotals="1" fieldPosition="0"/>
    </format>
    <format dxfId="43">
      <pivotArea dataOnly="0" labelOnly="1" fieldPosition="0">
        <references count="1">
          <reference field="1" count="0"/>
        </references>
      </pivotArea>
    </format>
    <format dxfId="42">
      <pivotArea dataOnly="0" labelOnly="1" grandRow="1" outline="0" fieldPosition="0"/>
    </format>
    <format dxfId="41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40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39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6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45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2"/>
  <sheetViews>
    <sheetView zoomScaleNormal="100" workbookViewId="0">
      <pane ySplit="4" topLeftCell="A911" activePane="bottomLeft" state="frozen"/>
      <selection pane="bottomLeft" activeCell="N925" sqref="N925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2" t="s">
        <v>3264</v>
      </c>
      <c r="B917" s="8" t="s">
        <v>3268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19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3265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3266</v>
      </c>
      <c r="Y917" s="2" t="s">
        <v>3267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2" t="s">
        <v>3264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2" t="s">
        <v>3264</v>
      </c>
      <c r="B919" s="8" t="s">
        <v>3268</v>
      </c>
      <c r="C919" s="8" t="s">
        <v>36</v>
      </c>
      <c r="D919" s="8" t="s">
        <v>67</v>
      </c>
      <c r="E919" s="8" t="s">
        <v>2994</v>
      </c>
      <c r="F919" s="13"/>
      <c r="G919" s="59"/>
      <c r="H919" s="6"/>
      <c r="I919" s="6">
        <f t="shared" si="63"/>
        <v>144.88188976377953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3269</v>
      </c>
      <c r="O919" s="56">
        <v>920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3270</v>
      </c>
      <c r="Y919" s="2" t="s">
        <v>3271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2" t="s">
        <v>3264</v>
      </c>
      <c r="B920" s="8" t="s">
        <v>3268</v>
      </c>
      <c r="C920" s="8" t="s">
        <v>36</v>
      </c>
      <c r="D920" s="8" t="s">
        <v>50</v>
      </c>
      <c r="E920" s="8" t="s">
        <v>47</v>
      </c>
      <c r="F920" s="13"/>
      <c r="G920" s="59"/>
      <c r="H920" s="6"/>
      <c r="I920" s="6">
        <f t="shared" ref="I920" si="64">IFERROR(O920/K920,)</f>
        <v>210.57401812688821</v>
      </c>
      <c r="J920" s="2">
        <v>8.07</v>
      </c>
      <c r="K920" s="2">
        <v>6.62</v>
      </c>
      <c r="L920" s="2">
        <v>1.45</v>
      </c>
      <c r="M920" s="2">
        <v>17.97</v>
      </c>
      <c r="N920" s="2" t="s">
        <v>3272</v>
      </c>
      <c r="O920" s="56">
        <v>1394</v>
      </c>
      <c r="P920" s="2">
        <v>1.85</v>
      </c>
      <c r="Q920" s="2">
        <v>10.09</v>
      </c>
      <c r="R920" s="2">
        <v>138.16999999999999</v>
      </c>
      <c r="S920" s="2">
        <v>6.15</v>
      </c>
      <c r="T920" s="2">
        <v>4.24</v>
      </c>
      <c r="U920" s="2">
        <v>132.02000000000001</v>
      </c>
      <c r="V920" s="2">
        <v>19.95</v>
      </c>
      <c r="W920" s="2">
        <v>2640.11</v>
      </c>
      <c r="X920" s="2" t="s">
        <v>3273</v>
      </c>
      <c r="Y920" s="2" t="s">
        <v>3274</v>
      </c>
      <c r="Z920" s="2">
        <v>1.4</v>
      </c>
      <c r="AA920" s="2" t="s">
        <v>548</v>
      </c>
      <c r="AB920" s="2" t="s">
        <v>3275</v>
      </c>
    </row>
    <row r="921" spans="1:28" x14ac:dyDescent="0.25">
      <c r="A921" s="2" t="s">
        <v>3264</v>
      </c>
      <c r="B921" s="8" t="s">
        <v>3268</v>
      </c>
      <c r="C921" s="8" t="s">
        <v>36</v>
      </c>
      <c r="D921" s="8" t="s">
        <v>52</v>
      </c>
      <c r="E921" s="8" t="s">
        <v>47</v>
      </c>
      <c r="F921" s="13"/>
      <c r="G921" s="59"/>
      <c r="H921" s="6"/>
      <c r="I921" s="6">
        <f t="shared" ref="I921" si="65">IFERROR(O921/K921,)</f>
        <v>297.70992366412213</v>
      </c>
      <c r="J921" s="2">
        <v>13.33</v>
      </c>
      <c r="K921" s="2">
        <v>10.48</v>
      </c>
      <c r="L921" s="2">
        <v>2.85</v>
      </c>
      <c r="M921" s="2">
        <v>21.39</v>
      </c>
      <c r="N921" s="2" t="s">
        <v>3276</v>
      </c>
      <c r="O921" s="56">
        <v>3120</v>
      </c>
      <c r="P921" s="2">
        <v>2.2200000000000002</v>
      </c>
      <c r="Q921" s="2">
        <v>13.54</v>
      </c>
      <c r="R921" s="2">
        <v>230.44</v>
      </c>
      <c r="S921" s="2">
        <v>10.41</v>
      </c>
      <c r="T921" s="2">
        <v>3.65</v>
      </c>
      <c r="U921" s="2">
        <v>220.03</v>
      </c>
      <c r="V921" s="2" t="s">
        <v>2334</v>
      </c>
      <c r="W921" s="2">
        <v>1256.17</v>
      </c>
      <c r="X921" s="2" t="s">
        <v>3277</v>
      </c>
      <c r="Y921" s="2" t="s">
        <v>3278</v>
      </c>
      <c r="Z921" s="2" t="s">
        <v>548</v>
      </c>
      <c r="AA921" s="2" t="s">
        <v>548</v>
      </c>
      <c r="AB921" s="2">
        <v>125.6</v>
      </c>
    </row>
    <row r="922" spans="1:28" x14ac:dyDescent="0.25">
      <c r="A922" s="2" t="s">
        <v>3264</v>
      </c>
      <c r="B922" s="8" t="s">
        <v>3268</v>
      </c>
      <c r="C922" s="8" t="s">
        <v>36</v>
      </c>
      <c r="D922" s="7" t="s">
        <v>46</v>
      </c>
      <c r="E922" s="8" t="s">
        <v>47</v>
      </c>
      <c r="F922" s="13"/>
      <c r="G922" s="59"/>
      <c r="H922" s="6"/>
      <c r="I922" s="6">
        <f t="shared" ref="I922" si="66">IFERROR(O922/K922,)</f>
        <v>420.24336283185846</v>
      </c>
      <c r="J922" s="2">
        <v>11.59</v>
      </c>
      <c r="K922" s="2">
        <v>9.0399999999999991</v>
      </c>
      <c r="L922" s="2">
        <v>2.5499999999999998</v>
      </c>
      <c r="M922" s="2" t="s">
        <v>3279</v>
      </c>
      <c r="N922" s="2" t="s">
        <v>723</v>
      </c>
      <c r="O922" s="56">
        <v>3799</v>
      </c>
      <c r="P922" s="2">
        <v>3.55</v>
      </c>
      <c r="Q922" s="2">
        <v>12.85</v>
      </c>
      <c r="R922" s="2">
        <v>295.74</v>
      </c>
      <c r="S922" s="2">
        <v>15.61</v>
      </c>
      <c r="T922" s="2">
        <v>6.12</v>
      </c>
      <c r="U922" s="2">
        <v>280.12</v>
      </c>
      <c r="V922" s="2">
        <v>30.99</v>
      </c>
      <c r="W922" s="2">
        <v>8249.1299999999992</v>
      </c>
      <c r="X922" s="2" t="s">
        <v>3280</v>
      </c>
      <c r="Y922" s="2" t="s">
        <v>3281</v>
      </c>
      <c r="Z922" s="2">
        <v>0.1</v>
      </c>
      <c r="AA922" s="2" t="s">
        <v>548</v>
      </c>
      <c r="AB922" s="2">
        <v>259.2</v>
      </c>
    </row>
    <row r="923" spans="1:28" x14ac:dyDescent="0.25">
      <c r="A923" s="2" t="s">
        <v>3264</v>
      </c>
      <c r="B923" s="8" t="s">
        <v>3268</v>
      </c>
      <c r="C923" s="8" t="s">
        <v>36</v>
      </c>
      <c r="D923" s="8" t="s">
        <v>48</v>
      </c>
      <c r="E923" s="8" t="s">
        <v>47</v>
      </c>
      <c r="F923" s="13"/>
      <c r="G923" s="59"/>
      <c r="H923" s="6"/>
      <c r="I923" s="6">
        <f t="shared" ref="I923" si="67">IFERROR(O923/K923,)</f>
        <v>499.24012158054711</v>
      </c>
      <c r="J923" s="2">
        <v>7.23</v>
      </c>
      <c r="K923" s="2">
        <v>6.58</v>
      </c>
      <c r="L923" s="2">
        <v>0.65</v>
      </c>
      <c r="M923" s="2">
        <v>8.99</v>
      </c>
      <c r="N923" s="2" t="s">
        <v>3025</v>
      </c>
      <c r="O923" s="56">
        <v>3285</v>
      </c>
      <c r="P923" s="2">
        <v>4.43</v>
      </c>
      <c r="Q923" s="2">
        <v>13.12</v>
      </c>
      <c r="R923" s="2">
        <v>250.31</v>
      </c>
      <c r="S923" s="2">
        <v>4.26</v>
      </c>
      <c r="T923" s="2">
        <v>6.55</v>
      </c>
      <c r="U923" s="2">
        <v>246.05</v>
      </c>
      <c r="V923" s="2">
        <v>37.4</v>
      </c>
      <c r="W923" s="2">
        <v>6817.02</v>
      </c>
      <c r="X923" s="2" t="s">
        <v>3282</v>
      </c>
      <c r="Y923" s="2" t="s">
        <v>3283</v>
      </c>
      <c r="Z923" s="2" t="s">
        <v>548</v>
      </c>
      <c r="AA923" s="2" t="s">
        <v>548</v>
      </c>
      <c r="AB923" s="2">
        <v>49.8</v>
      </c>
    </row>
    <row r="924" spans="1:28" x14ac:dyDescent="0.25">
      <c r="A924" s="2" t="s">
        <v>3264</v>
      </c>
      <c r="B924" s="8" t="s">
        <v>3268</v>
      </c>
      <c r="C924" s="8" t="s">
        <v>36</v>
      </c>
      <c r="D924" s="8" t="s">
        <v>49</v>
      </c>
      <c r="E924" s="8" t="s">
        <v>47</v>
      </c>
      <c r="F924" s="13"/>
      <c r="G924" s="59"/>
      <c r="H924" s="6"/>
      <c r="I924" s="6">
        <f t="shared" ref="I924" si="68">IFERROR(O924/K924,)</f>
        <v>563.5658914728682</v>
      </c>
      <c r="J924" s="2">
        <v>5.77</v>
      </c>
      <c r="K924" s="2">
        <v>3.87</v>
      </c>
      <c r="L924" s="2">
        <v>1.9</v>
      </c>
      <c r="M924" s="2">
        <v>32.92</v>
      </c>
      <c r="N924" s="2" t="s">
        <v>3284</v>
      </c>
      <c r="O924" s="56">
        <v>2181</v>
      </c>
      <c r="P924" s="2">
        <v>3.76</v>
      </c>
      <c r="Q924" s="2">
        <v>12.95</v>
      </c>
      <c r="R924" s="2">
        <v>168.45</v>
      </c>
      <c r="S924" s="2">
        <v>8.52</v>
      </c>
      <c r="T924" s="2">
        <v>4.4800000000000004</v>
      </c>
      <c r="U924" s="2">
        <v>159.93</v>
      </c>
      <c r="V924" s="2">
        <v>41.31</v>
      </c>
      <c r="W924" s="2">
        <v>2151.06</v>
      </c>
      <c r="X924" s="2" t="s">
        <v>3285</v>
      </c>
      <c r="Y924" s="2" t="s">
        <v>3286</v>
      </c>
      <c r="Z924" s="2" t="s">
        <v>548</v>
      </c>
      <c r="AA924" s="2" t="s">
        <v>548</v>
      </c>
      <c r="AB924" s="2">
        <v>5.7</v>
      </c>
    </row>
    <row r="925" spans="1:28" x14ac:dyDescent="0.25">
      <c r="A925" s="2"/>
      <c r="B925" s="8"/>
      <c r="C925" s="8"/>
      <c r="D925" s="8"/>
      <c r="E925" s="8"/>
      <c r="F925" s="13"/>
      <c r="G925" s="59"/>
      <c r="H925" s="6"/>
      <c r="I925" s="6"/>
      <c r="J925" s="2"/>
      <c r="K925" s="2"/>
      <c r="L925" s="2"/>
      <c r="M925" s="2"/>
      <c r="N925" s="2"/>
      <c r="O925" s="5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x14ac:dyDescent="0.25">
      <c r="A926" s="2"/>
      <c r="B926" s="8"/>
      <c r="C926" s="8"/>
      <c r="D926" s="8"/>
      <c r="E926" s="8"/>
      <c r="F926" s="13"/>
      <c r="G926" s="59"/>
      <c r="H926" s="6"/>
      <c r="I926" s="6"/>
      <c r="J926" s="2"/>
      <c r="K926" s="2"/>
      <c r="L926" s="2"/>
      <c r="M926" s="2"/>
      <c r="N926" s="2"/>
      <c r="O926" s="5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2"/>
      <c r="B927" s="8"/>
      <c r="C927" s="8"/>
      <c r="D927" s="8"/>
      <c r="E927" s="8"/>
      <c r="F927" s="13"/>
      <c r="G927" s="59"/>
      <c r="H927" s="6"/>
      <c r="I927" s="6"/>
      <c r="J927" s="2"/>
      <c r="K927" s="2"/>
      <c r="L927" s="2"/>
      <c r="M927" s="2"/>
      <c r="N927" s="2"/>
      <c r="O927" s="5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x14ac:dyDescent="0.25">
      <c r="A928" s="2"/>
      <c r="B928" s="8"/>
      <c r="C928" s="8"/>
      <c r="D928" s="8"/>
      <c r="E928" s="8"/>
      <c r="F928" s="13"/>
      <c r="G928" s="59"/>
      <c r="H928" s="6"/>
      <c r="I928" s="6"/>
      <c r="J928" s="2"/>
      <c r="K928" s="2"/>
      <c r="L928" s="2"/>
      <c r="M928" s="2"/>
      <c r="N928" s="2"/>
      <c r="O928" s="5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x14ac:dyDescent="0.25">
      <c r="A929" s="2"/>
      <c r="B929" s="8"/>
      <c r="C929" s="8"/>
      <c r="D929" s="8"/>
      <c r="E929" s="8"/>
      <c r="F929" s="13"/>
      <c r="G929" s="59"/>
      <c r="H929" s="6"/>
      <c r="I929" s="6"/>
      <c r="J929" s="2"/>
      <c r="K929" s="2"/>
      <c r="L929" s="2"/>
      <c r="M929" s="2"/>
      <c r="N929" s="2"/>
      <c r="O929" s="5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x14ac:dyDescent="0.25">
      <c r="A930" s="2"/>
      <c r="B930" s="8"/>
      <c r="C930" s="8"/>
      <c r="D930" s="8"/>
      <c r="E930" s="8"/>
      <c r="F930" s="13"/>
      <c r="G930" s="59"/>
      <c r="H930" s="6"/>
      <c r="I930" s="6"/>
      <c r="J930" s="2"/>
      <c r="K930" s="2"/>
      <c r="L930" s="2"/>
      <c r="M930" s="2"/>
      <c r="N930" s="2"/>
      <c r="O930" s="5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x14ac:dyDescent="0.25">
      <c r="A931" s="2"/>
      <c r="B931" s="8"/>
      <c r="C931" s="8"/>
      <c r="D931" s="8"/>
      <c r="E931" s="8"/>
      <c r="F931" s="13"/>
      <c r="G931" s="59"/>
      <c r="H931" s="6"/>
      <c r="I931" s="6"/>
      <c r="J931" s="2"/>
      <c r="K931" s="2"/>
      <c r="L931" s="2"/>
      <c r="M931" s="2"/>
      <c r="N931" s="2"/>
      <c r="O931" s="5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2"/>
      <c r="B932" s="8"/>
      <c r="C932" s="8"/>
      <c r="D932" s="8"/>
      <c r="E932" s="8"/>
      <c r="F932" s="13"/>
      <c r="G932" s="59"/>
      <c r="H932" s="6"/>
      <c r="I932" s="6"/>
      <c r="J932" s="2"/>
      <c r="K932" s="2"/>
      <c r="L932" s="2"/>
      <c r="M932" s="2"/>
      <c r="N932" s="2"/>
      <c r="O932" s="5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x14ac:dyDescent="0.25">
      <c r="A933" s="2"/>
      <c r="B933" s="8"/>
      <c r="C933" s="8"/>
      <c r="D933" s="8"/>
      <c r="E933" s="8"/>
      <c r="F933" s="13"/>
      <c r="G933" s="59"/>
      <c r="H933" s="6"/>
      <c r="I933" s="6"/>
      <c r="J933" s="2"/>
      <c r="K933" s="2"/>
      <c r="L933" s="2"/>
      <c r="M933" s="2"/>
      <c r="N933" s="2"/>
      <c r="O933" s="5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x14ac:dyDescent="0.25">
      <c r="A934" s="2"/>
      <c r="B934" s="8"/>
      <c r="C934" s="8"/>
      <c r="D934" s="8"/>
      <c r="E934" s="8"/>
      <c r="F934" s="13"/>
      <c r="G934" s="59"/>
      <c r="H934" s="6"/>
      <c r="I934" s="6"/>
      <c r="J934" s="2"/>
      <c r="K934" s="2"/>
      <c r="L934" s="2"/>
      <c r="M934" s="2"/>
      <c r="N934" s="2"/>
      <c r="O934" s="5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x14ac:dyDescent="0.25">
      <c r="A935" s="2"/>
      <c r="B935" s="8"/>
      <c r="C935" s="8"/>
      <c r="D935" s="8"/>
      <c r="E935" s="8"/>
      <c r="F935" s="13"/>
      <c r="G935" s="59"/>
      <c r="H935" s="6"/>
      <c r="I935" s="6"/>
      <c r="J935" s="2"/>
      <c r="K935" s="2"/>
      <c r="L935" s="2"/>
      <c r="M935" s="2"/>
      <c r="N935" s="2"/>
      <c r="O935" s="5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x14ac:dyDescent="0.25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x14ac:dyDescent="0.25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x14ac:dyDescent="0.25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x14ac:dyDescent="0.25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x14ac:dyDescent="0.25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abSelected="1"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3213</v>
      </c>
      <c r="R1" t="s">
        <v>3214</v>
      </c>
      <c r="S1" t="s">
        <v>3215</v>
      </c>
      <c r="T1" t="s">
        <v>3216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3213</v>
      </c>
      <c r="B3" s="15" t="s">
        <v>3215</v>
      </c>
      <c r="C3" s="15" t="s">
        <v>3214</v>
      </c>
      <c r="D3" t="s">
        <v>3217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 s="85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 s="8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 s="85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 s="85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 s="85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 s="85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 s="85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 s="85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 s="85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 s="85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 s="85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 s="8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 s="85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 s="85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 s="85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 s="85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 s="85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 s="85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 s="85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 s="85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 s="85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 s="8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 s="85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 s="85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 s="85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 s="85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 s="85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 s="85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 s="85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 s="85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 s="85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 s="8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 s="85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 s="85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 s="85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 s="85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 s="85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 s="85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 s="85">
        <v>1</v>
      </c>
      <c r="Q42" s="18" t="s">
        <v>3218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 s="85">
        <v>6</v>
      </c>
    </row>
    <row r="44" spans="1:20" x14ac:dyDescent="0.2">
      <c r="A44" s="12">
        <v>46185</v>
      </c>
      <c r="B44" s="15"/>
      <c r="C44" s="15">
        <v>0</v>
      </c>
      <c r="D44" s="85">
        <v>1</v>
      </c>
    </row>
    <row r="45" spans="1:20" x14ac:dyDescent="0.2">
      <c r="A45" s="12">
        <v>46183</v>
      </c>
      <c r="B45" s="15"/>
      <c r="C45" s="15">
        <v>0</v>
      </c>
      <c r="D45" s="85">
        <v>1</v>
      </c>
    </row>
    <row r="46" spans="1:20" x14ac:dyDescent="0.2">
      <c r="A46" s="12">
        <v>46181</v>
      </c>
      <c r="B46" s="15"/>
      <c r="C46" s="15">
        <v>0</v>
      </c>
      <c r="D46" s="85">
        <v>1</v>
      </c>
    </row>
    <row r="47" spans="1:20" x14ac:dyDescent="0.2">
      <c r="A47" s="12">
        <v>46180</v>
      </c>
      <c r="B47" s="15"/>
      <c r="C47" s="15">
        <v>0</v>
      </c>
      <c r="D47" s="85">
        <v>5</v>
      </c>
    </row>
    <row r="48" spans="1:20" x14ac:dyDescent="0.2">
      <c r="A48" s="12">
        <v>46179</v>
      </c>
      <c r="B48" s="15"/>
      <c r="C48" s="15">
        <v>0</v>
      </c>
      <c r="D48" s="85">
        <v>1</v>
      </c>
    </row>
    <row r="49" spans="1:4" x14ac:dyDescent="0.2">
      <c r="A49" s="12">
        <v>46173</v>
      </c>
      <c r="B49" s="15">
        <v>0</v>
      </c>
      <c r="C49" s="15">
        <v>0</v>
      </c>
      <c r="D49" s="85">
        <v>9</v>
      </c>
    </row>
    <row r="50" spans="1:4" x14ac:dyDescent="0.2">
      <c r="A50" s="12">
        <v>46166</v>
      </c>
      <c r="B50" s="15">
        <v>0</v>
      </c>
      <c r="C50" s="15">
        <v>0</v>
      </c>
      <c r="D50" s="85">
        <v>5</v>
      </c>
    </row>
    <row r="51" spans="1:4" x14ac:dyDescent="0.2">
      <c r="A51" s="12">
        <v>46163</v>
      </c>
      <c r="B51" s="15">
        <v>0</v>
      </c>
      <c r="C51" s="15">
        <v>3853</v>
      </c>
      <c r="D51" s="85">
        <v>3</v>
      </c>
    </row>
    <row r="52" spans="1:4" x14ac:dyDescent="0.2">
      <c r="A52" s="12">
        <v>46159</v>
      </c>
      <c r="B52" s="15">
        <v>9000</v>
      </c>
      <c r="C52" s="15">
        <v>0</v>
      </c>
      <c r="D52" s="85">
        <v>3</v>
      </c>
    </row>
    <row r="53" spans="1:4" x14ac:dyDescent="0.2">
      <c r="A53" s="12">
        <v>46155</v>
      </c>
      <c r="B53" s="15">
        <v>9000</v>
      </c>
      <c r="C53" s="15">
        <v>0</v>
      </c>
      <c r="D53" s="85">
        <v>3</v>
      </c>
    </row>
    <row r="54" spans="1:4" x14ac:dyDescent="0.2">
      <c r="A54" s="12">
        <v>46152</v>
      </c>
      <c r="B54" s="15"/>
      <c r="C54" s="15">
        <v>0</v>
      </c>
      <c r="D54" s="85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 s="8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 s="85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 s="85">
        <v>2</v>
      </c>
    </row>
    <row r="58" spans="1:4" x14ac:dyDescent="0.2">
      <c r="A58" s="12">
        <v>46150</v>
      </c>
      <c r="B58" s="15">
        <v>18000</v>
      </c>
      <c r="C58" s="15">
        <v>5774</v>
      </c>
      <c r="D58" s="85">
        <v>2</v>
      </c>
    </row>
    <row r="59" spans="1:4" x14ac:dyDescent="0.2">
      <c r="A59" s="12">
        <v>46149</v>
      </c>
      <c r="B59" s="15">
        <v>18000</v>
      </c>
      <c r="C59" s="15">
        <v>4670</v>
      </c>
      <c r="D59" s="85">
        <v>2</v>
      </c>
    </row>
    <row r="60" spans="1:4" x14ac:dyDescent="0.2">
      <c r="A60" s="12">
        <v>46148</v>
      </c>
      <c r="B60" s="15">
        <v>18000</v>
      </c>
      <c r="C60" s="15">
        <v>3942</v>
      </c>
      <c r="D60" s="85">
        <v>2</v>
      </c>
    </row>
    <row r="61" spans="1:4" x14ac:dyDescent="0.2">
      <c r="A61" s="12">
        <v>46147</v>
      </c>
      <c r="B61" s="15">
        <v>18000</v>
      </c>
      <c r="C61" s="15">
        <v>5905</v>
      </c>
      <c r="D61" s="85">
        <v>2</v>
      </c>
    </row>
    <row r="62" spans="1:4" x14ac:dyDescent="0.2">
      <c r="A62" s="12">
        <v>46146</v>
      </c>
      <c r="B62" s="15">
        <v>18000</v>
      </c>
      <c r="C62" s="15">
        <v>6571</v>
      </c>
      <c r="D62" s="85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 s="85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 s="85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 s="8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 s="85">
        <v>2</v>
      </c>
    </row>
    <row r="67" spans="1:4" x14ac:dyDescent="0.2">
      <c r="A67" s="12">
        <v>46156</v>
      </c>
      <c r="B67" s="15">
        <v>15000</v>
      </c>
      <c r="C67" s="15">
        <v>6222</v>
      </c>
      <c r="D67" s="85">
        <v>3</v>
      </c>
    </row>
    <row r="68" spans="1:4" x14ac:dyDescent="0.2">
      <c r="A68" s="12">
        <v>46154</v>
      </c>
      <c r="B68" s="15">
        <v>15000</v>
      </c>
      <c r="C68" s="15">
        <v>5949</v>
      </c>
      <c r="D68" s="85">
        <v>3</v>
      </c>
    </row>
    <row r="69" spans="1:4" x14ac:dyDescent="0.2">
      <c r="A69" s="12">
        <v>46153</v>
      </c>
      <c r="B69" s="15">
        <v>15000</v>
      </c>
      <c r="C69" s="15">
        <v>3615</v>
      </c>
      <c r="D69" s="85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 s="85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 s="85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 s="85">
        <v>5</v>
      </c>
    </row>
    <row r="73" spans="1:4" x14ac:dyDescent="0.2">
      <c r="A73" s="12">
        <v>46164</v>
      </c>
      <c r="B73" s="15">
        <v>15000</v>
      </c>
      <c r="C73" s="15">
        <v>6487</v>
      </c>
      <c r="D73" s="85">
        <v>5</v>
      </c>
    </row>
    <row r="74" spans="1:4" x14ac:dyDescent="0.2">
      <c r="A74" s="12">
        <v>46163</v>
      </c>
      <c r="B74" s="15">
        <v>15000</v>
      </c>
      <c r="C74" s="15">
        <v>0</v>
      </c>
      <c r="D74" s="85">
        <v>1</v>
      </c>
    </row>
    <row r="75" spans="1:4" x14ac:dyDescent="0.2">
      <c r="A75" s="12">
        <v>46162</v>
      </c>
      <c r="B75" s="15">
        <v>15000</v>
      </c>
      <c r="C75" s="15">
        <v>3587</v>
      </c>
      <c r="D75" s="8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 s="85">
        <v>3</v>
      </c>
    </row>
    <row r="77" spans="1:4" x14ac:dyDescent="0.2">
      <c r="A77" s="12">
        <v>46160</v>
      </c>
      <c r="B77" s="15">
        <v>15000</v>
      </c>
      <c r="C77" s="15">
        <v>4602</v>
      </c>
      <c r="D77" s="85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 s="85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 s="85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 s="85">
        <v>5</v>
      </c>
    </row>
    <row r="81" spans="1:4" x14ac:dyDescent="0.2">
      <c r="A81" s="12">
        <v>46171</v>
      </c>
      <c r="B81" s="15">
        <v>15000</v>
      </c>
      <c r="C81" s="15">
        <v>8886</v>
      </c>
      <c r="D81" s="85">
        <v>5</v>
      </c>
    </row>
    <row r="82" spans="1:4" x14ac:dyDescent="0.2">
      <c r="A82" s="12">
        <v>46170</v>
      </c>
      <c r="B82" s="15">
        <v>15000</v>
      </c>
      <c r="C82" s="15">
        <v>8857</v>
      </c>
      <c r="D82" s="85">
        <v>4</v>
      </c>
    </row>
    <row r="83" spans="1:4" x14ac:dyDescent="0.2">
      <c r="A83" s="12">
        <v>46169</v>
      </c>
      <c r="B83" s="15">
        <v>15000</v>
      </c>
      <c r="C83" s="15">
        <v>7325</v>
      </c>
      <c r="D83" s="85">
        <v>4</v>
      </c>
    </row>
    <row r="84" spans="1:4" x14ac:dyDescent="0.2">
      <c r="A84" s="12">
        <v>46168</v>
      </c>
      <c r="B84" s="15">
        <v>15000</v>
      </c>
      <c r="C84" s="15">
        <v>9500</v>
      </c>
      <c r="D84" s="85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 s="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 s="85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 s="85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 s="85">
        <v>4</v>
      </c>
    </row>
    <row r="89" spans="1:4" x14ac:dyDescent="0.2">
      <c r="A89" s="12">
        <v>46178</v>
      </c>
      <c r="B89" s="15">
        <v>15000</v>
      </c>
      <c r="C89" s="15">
        <v>9823</v>
      </c>
      <c r="D89" s="85">
        <v>3</v>
      </c>
    </row>
    <row r="90" spans="1:4" x14ac:dyDescent="0.2">
      <c r="A90" s="12">
        <v>46177</v>
      </c>
      <c r="B90" s="15">
        <v>15000</v>
      </c>
      <c r="C90" s="15">
        <v>8886</v>
      </c>
      <c r="D90" s="85">
        <v>3</v>
      </c>
    </row>
    <row r="91" spans="1:4" x14ac:dyDescent="0.2">
      <c r="A91" s="12">
        <v>46176</v>
      </c>
      <c r="B91" s="15">
        <v>15000</v>
      </c>
      <c r="C91" s="15">
        <v>6811</v>
      </c>
      <c r="D91" s="85">
        <v>4</v>
      </c>
    </row>
    <row r="92" spans="1:4" x14ac:dyDescent="0.2">
      <c r="A92" s="12">
        <v>46175</v>
      </c>
      <c r="B92" s="15">
        <v>15000</v>
      </c>
      <c r="C92" s="15">
        <v>9739</v>
      </c>
      <c r="D92" s="85">
        <v>4</v>
      </c>
    </row>
    <row r="93" spans="1:4" x14ac:dyDescent="0.2">
      <c r="A93" s="12">
        <v>46174</v>
      </c>
      <c r="B93" s="15">
        <v>15000</v>
      </c>
      <c r="C93" s="15">
        <v>8964</v>
      </c>
      <c r="D93" s="85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 s="85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 s="8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 s="85">
        <v>5</v>
      </c>
    </row>
    <row r="97" spans="1:4" x14ac:dyDescent="0.2">
      <c r="A97" s="12">
        <v>46185</v>
      </c>
      <c r="B97" s="15">
        <v>18000</v>
      </c>
      <c r="C97" s="15">
        <v>9583</v>
      </c>
      <c r="D97" s="85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 s="85">
        <v>5</v>
      </c>
    </row>
    <row r="99" spans="1:4" x14ac:dyDescent="0.2">
      <c r="A99" s="12">
        <v>46183</v>
      </c>
      <c r="B99" s="15">
        <v>15000</v>
      </c>
      <c r="C99" s="15">
        <v>9611</v>
      </c>
      <c r="D99" s="85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 s="85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 s="85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 s="85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 s="85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 s="85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 s="8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 s="85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 s="85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 s="85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 s="85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 s="85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 s="85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 s="85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 s="85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 s="85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 s="8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 s="85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 s="85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 s="85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 s="85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 s="85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 s="85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 s="85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 s="85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 s="85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 s="8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 s="85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 s="85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 s="85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 s="85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 s="85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 s="85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 s="85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 s="85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 s="85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 s="8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 s="85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 s="85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 s="85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 s="85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 s="85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 s="85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 s="85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 s="85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 s="85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 s="8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 s="85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 s="85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 s="85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 s="85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 s="85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 s="85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 s="85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 s="85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 s="85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 s="8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 s="85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 s="85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 s="85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 s="85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 s="85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 s="85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 s="85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 s="85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 s="85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 s="8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 s="85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 s="85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 s="85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 s="85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 s="85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 s="85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 s="85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 s="85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 s="85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 s="8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 s="85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 s="85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 s="85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 s="85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 s="85">
        <v>6</v>
      </c>
    </row>
    <row r="181" spans="1:4" x14ac:dyDescent="0.2">
      <c r="A181" s="10" t="s">
        <v>3218</v>
      </c>
      <c r="B181" s="15">
        <v>1448999.9999999974</v>
      </c>
      <c r="C181" s="15">
        <v>976185</v>
      </c>
      <c r="D181" s="85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3213</v>
      </c>
      <c r="B3" t="s">
        <v>3215</v>
      </c>
      <c r="C3" t="s">
        <v>3219</v>
      </c>
      <c r="O3" s="9" t="s">
        <v>3213</v>
      </c>
      <c r="P3" t="s">
        <v>3215</v>
      </c>
      <c r="Q3" t="s">
        <v>3219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3220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3218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3218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3221</v>
      </c>
      <c r="G3" s="17" t="s">
        <v>3222</v>
      </c>
      <c r="H3" s="17" t="s">
        <v>3223</v>
      </c>
      <c r="I3" s="17" t="s">
        <v>3224</v>
      </c>
      <c r="J3" s="17" t="s">
        <v>3225</v>
      </c>
      <c r="K3" s="17" t="s">
        <v>3226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3227</v>
      </c>
    </row>
    <row r="5" spans="6:11" x14ac:dyDescent="0.2">
      <c r="F5" s="17">
        <v>116</v>
      </c>
      <c r="H5" s="17">
        <v>110</v>
      </c>
      <c r="J5" s="17" t="s">
        <v>3228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3229</v>
      </c>
    </row>
    <row r="3" spans="1:17" x14ac:dyDescent="0.2">
      <c r="A3" s="25" t="s">
        <v>7</v>
      </c>
      <c r="B3" s="25" t="s">
        <v>3230</v>
      </c>
      <c r="C3" s="25" t="s">
        <v>3231</v>
      </c>
      <c r="D3" s="25" t="s">
        <v>3232</v>
      </c>
      <c r="E3" s="25" t="s">
        <v>3233</v>
      </c>
      <c r="F3" s="25" t="s">
        <v>3234</v>
      </c>
      <c r="H3" s="22" t="s">
        <v>3234</v>
      </c>
      <c r="I3" s="22" t="s">
        <v>3230</v>
      </c>
      <c r="J3" s="22" t="s">
        <v>3231</v>
      </c>
      <c r="K3" s="22" t="s">
        <v>3233</v>
      </c>
      <c r="L3" s="22" t="s">
        <v>3235</v>
      </c>
      <c r="M3" s="25" t="s">
        <v>3236</v>
      </c>
      <c r="O3" s="25" t="s">
        <v>7</v>
      </c>
      <c r="P3" s="25" t="s">
        <v>3233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3237</v>
      </c>
      <c r="H4" s="28" t="s">
        <v>3237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3237</v>
      </c>
      <c r="H5" s="28" t="s">
        <v>3238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3237</v>
      </c>
      <c r="H6" s="28" t="s">
        <v>3239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3237</v>
      </c>
      <c r="H7" s="28" t="s">
        <v>3240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3237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3237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3237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3237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3237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3237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3238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3238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3238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3238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3238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3238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3238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3239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3239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3239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3239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3239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3239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3239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3239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3239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3239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3239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3239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3239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3240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3240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3240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3240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3240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3240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3240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3240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3240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3240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3240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3240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3240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3240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3240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3240</v>
      </c>
    </row>
    <row r="50" spans="1:6" x14ac:dyDescent="0.2">
      <c r="A50" s="84" t="s">
        <v>3241</v>
      </c>
      <c r="B50" s="84"/>
      <c r="C50" s="84"/>
      <c r="E50" s="23">
        <f>SUM(E4:E49)</f>
        <v>12900</v>
      </c>
    </row>
    <row r="56" spans="1:6" ht="15.75" x14ac:dyDescent="0.25">
      <c r="A56" s="34" t="s">
        <v>3242</v>
      </c>
    </row>
    <row r="57" spans="1:6" ht="25.5" x14ac:dyDescent="0.2">
      <c r="A57" s="35" t="s">
        <v>3243</v>
      </c>
      <c r="B57" s="36" t="s">
        <v>3244</v>
      </c>
      <c r="C57" s="36" t="s">
        <v>3245</v>
      </c>
      <c r="D57" s="36" t="s">
        <v>3246</v>
      </c>
    </row>
    <row r="58" spans="1:6" x14ac:dyDescent="0.2">
      <c r="A58" s="40" t="s">
        <v>3247</v>
      </c>
      <c r="B58" s="37">
        <v>108384.01</v>
      </c>
      <c r="C58" s="37"/>
      <c r="D58" s="37">
        <v>108384.01</v>
      </c>
    </row>
    <row r="59" spans="1:6" x14ac:dyDescent="0.2">
      <c r="A59" s="40" t="s">
        <v>3248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3249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3250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3251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3252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3253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3254</v>
      </c>
      <c r="B65" s="37">
        <v>23860.793000000001</v>
      </c>
      <c r="C65" s="37"/>
      <c r="D65" s="37"/>
    </row>
    <row r="66" spans="1:4" x14ac:dyDescent="0.2">
      <c r="A66" s="40" t="s">
        <v>3255</v>
      </c>
      <c r="B66" s="37">
        <v>1344.431</v>
      </c>
      <c r="C66" s="37"/>
      <c r="D66" s="37"/>
    </row>
    <row r="67" spans="1:4" x14ac:dyDescent="0.2">
      <c r="A67" s="38" t="s">
        <v>3241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3256</v>
      </c>
      <c r="E2" s="48" t="s">
        <v>3257</v>
      </c>
      <c r="F2" s="48" t="s">
        <v>3258</v>
      </c>
      <c r="G2" s="48" t="s">
        <v>3259</v>
      </c>
      <c r="H2" s="48" t="s">
        <v>3260</v>
      </c>
      <c r="I2" s="48" t="s">
        <v>3261</v>
      </c>
      <c r="J2" s="48" t="s">
        <v>3262</v>
      </c>
      <c r="K2" s="48" t="s">
        <v>3263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Luciana Aparecida Fioramonte Vilas Boas</cp:lastModifiedBy>
  <cp:revision/>
  <dcterms:created xsi:type="dcterms:W3CDTF">2026-05-12T12:10:54Z</dcterms:created>
  <dcterms:modified xsi:type="dcterms:W3CDTF">2026-08-26T14:03:56Z</dcterms:modified>
  <cp:category/>
  <cp:contentStatus/>
</cp:coreProperties>
</file>