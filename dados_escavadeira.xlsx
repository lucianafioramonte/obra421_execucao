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335" documentId="8_{CE5C6F22-4BE2-41D0-BCDC-905D26C0C4E3}" xr6:coauthVersionLast="47" xr6:coauthVersionMax="47" xr10:uidLastSave="{8A574FAE-B97A-4193-BFA8-8423224BA390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1" i="1" l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<sst xmlns="http://schemas.openxmlformats.org/spreadsheetml/2006/main" count="11500" uniqueCount="3264">
  <si>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</si>
  <si>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</si>
  <si>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</si>
  <si>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</si>
  <si>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</si>
  <si>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</si>
  <si>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</si>
  <si>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</si>
  <si>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</si>
  <si>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</si>
  <si>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</si>
  <si>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</si>
  <si>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</si>
  <si>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</si>
  <si>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</si>
  <si>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</si>
  <si>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</si>
  <si>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</si>
  <si>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</si>
  <si>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</si>
  <si>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</si>
  <si>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</si>
  <si>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</si>
  <si>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</si>
  <si>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</si>
  <si>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</si>
  <si>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</si>
  <si>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</si>
  <si>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</si>
  <si>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</si>
  <si>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</si>
  <si>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</si>
  <si>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</si>
  <si>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</si>
  <si>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</si>
  <si>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</si>
  <si>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</si>
  <si>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</si>
  <si>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</si>
  <si>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</si>
  <si>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</si>
  <si>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</si>
  <si>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</si>
  <si>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</si>
  <si>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</si>
  <si>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</si>
  <si>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</si>
  <si>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</si>
  <si>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</si>
  <si>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</si>
  <si>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</si>
  <si>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</si>
  <si>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</si>
  <si>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</si>
  <si>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</si>
  <si>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</si>
  <si>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</si>
  <si>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</si>
  <si>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</si>
  <si>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</si>
  <si>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</si>
  <si>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</si>
  <si>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</si>
  <si>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</si>
  <si>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</si>
  <si>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</si>
  <si>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</si>
  <si>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</si>
  <si>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</si>
  <si>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</si>
  <si>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</si>
  <si>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</si>
  <si>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</si>
  <si>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</si>
  <si>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</si>
  <si>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</si>
  <si>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</si>
  <si>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</si>
  <si>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</si>
  <si>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</si>
  <si>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</si>
  <si>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</si>
  <si>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</si>
  <si>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</si>
  <si>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</si>
  <si>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</si>
  <si>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</si>
  <si>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</si>
  <si>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</si>
  <si>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</si>
  <si>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</si>
  <si>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</si>
  <si>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</si>
  <si>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</si>
  <si>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</si>
  <si>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</si>
  <si>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</si>
  <si>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</si>
  <si>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</si>
  <si>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</si>
  <si>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</si>
  <si>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</si>
  <si>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</si>
  <si>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</si>
  <si>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</si>
  <si>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</si>
  <si>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</si>
  <si>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</si>
  <si>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</si>
  <si>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</si>
  <si>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</si>
  <si>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</si>
  <si>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</si>
  <si>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</si>
  <si>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</si>
  <si>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</si>
  <si>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</si>
  <si>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</si>
  <si>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</si>
  <si>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</si>
  <si>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</si>
  <si>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</si>
  <si>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</si>
  <si>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</si>
  <si>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</si>
  <si>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</si>
  <si>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</si>
  <si>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</si>
  <si>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</si>
  <si>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</si>
  <si>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</si>
  <si>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</si>
  <si>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</si>
  <si>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</si>
  <si>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</si>
  <si>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</si>
  <si>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</si>
  <si>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</si>
  <si>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</si>
  <si>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</si>
  <si>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</si>
  <si>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</si>
  <si>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</si>
  <si>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</si>
  <si>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</si>
  <si>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</si>
  <si>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</si>
  <si>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</si>
  <si>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</si>
  <si>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</si>
  <si>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</si>
  <si>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</si>
  <si>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</si>
  <si>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</si>
  <si>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</si>
  <si>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</si>
  <si>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</si>
  <si>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</si>
  <si>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</si>
  <si>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</si>
  <si>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</si>
  <si>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</si>
  <si>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</si>
  <si>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</si>
  <si>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</si>
  <si>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</si>
  <si>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</si>
  <si>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</si>
  <si>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</si>
  <si>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</si>
  <si>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</si>
  <si>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</si>
  <si>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</si>
  <si>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</si>
  <si>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</si>
  <si>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</si>
  <si>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</si>
  <si>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</si>
  <si>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</si>
  <si>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</si>
  <si>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</si>
  <si>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</si>
  <si>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</si>
  <si>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</si>
  <si>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</si>
  <si>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</si>
  <si>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</si>
  <si>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</si>
  <si>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</si>
  <si>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</si>
  <si>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</si>
  <si>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</si>
  <si>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</si>
  <si>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</si>
  <si>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</si>
  <si>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</si>
  <si>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</si>
  <si>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</si>
  <si>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</si>
  <si>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</si>
  <si>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</si>
  <si>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</si>
  <si>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</si>
  <si>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</si>
  <si>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</si>
  <si>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</si>
  <si>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</si>
  <si>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</si>
  <si>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</si>
  <si>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</si>
  <si>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</si>
  <si>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</si>
  <si>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</si>
  <si>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</si>
  <si>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</si>
  <si>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</si>
  <si>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</si>
  <si>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</si>
  <si>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</si>
  <si>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</si>
  <si>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</si>
  <si>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</si>
  <si>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</si>
  <si>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</si>
  <si>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</si>
  <si>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</si>
  <si>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</si>
  <si>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</si>
  <si>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</si>
  <si>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</si>
  <si>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</si>
  <si>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</si>
  <si>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</si>
  <si>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</si>
  <si>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</si>
  <si>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</si>
  <si>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</si>
  <si>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</si>
  <si>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</si>
  <si>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</si>
  <si>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</si>
  <si>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</si>
  <si>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</si>
  <si>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</si>
  <si>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</si>
  <si>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</si>
  <si>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</si>
  <si>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</si>
  <si>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</si>
  <si>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</si>
  <si>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</si>
  <si>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</si>
  <si>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</si>
  <si>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</si>
  <si>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</si>
  <si>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</si>
  <si>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</si>
  <si>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</si>
  <si>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</si>
  <si>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</si>
  <si>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</si>
  <si>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</si>
  <si>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</si>
  <si>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</si>
  <si>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</si>
  <si>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</si>
  <si>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</si>
  <si>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</si>
  <si>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</si>
  <si>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</si>
  <si>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</si>
  <si>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</si>
  <si>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</si>
  <si>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</si>
  <si>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</si>
  <si>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</si>
  <si>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</si>
  <si>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</si>
  <si>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</si>
  <si>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</si>
  <si>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</si>
  <si>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</si>
  <si>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</si>
  <si>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</si>
  <si>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</si>
  <si>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</si>
  <si>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</si>
  <si>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</si>
  <si>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</si>
  <si>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</si>
  <si>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</si>
  <si>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</si>
  <si>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</si>
  <si>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</si>
  <si>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</si>
  <si>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</si>
  <si>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</si>
  <si>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</si>
  <si>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</si>
  <si>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</si>
  <si>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</si>
  <si>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</si>
  <si>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</si>
  <si>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</si>
  <si>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</si>
  <si>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</si>
  <si>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</si>
  <si>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</si>
  <si>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</si>
  <si>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</si>
  <si>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</si>
  <si>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</si>
  <si>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</si>
  <si>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</si>
  <si>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</si>
  <si>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</si>
  <si>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</si>
  <si>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</si>
  <si>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</si>
  <si>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</si>
  <si>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</si>
  <si>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</si>
  <si>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</si>
  <si>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</si>
  <si>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</si>
  <si>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</si>
  <si>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</si>
  <si>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</si>
  <si>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</si>
  <si>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</si>
  <si>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</si>
  <si>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</si>
  <si>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</si>
  <si>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</si>
  <si>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</si>
  <si>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</si>
  <si>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</si>
  <si>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</si>
  <si>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</si>
  <si>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</si>
  <si>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</si>
  <si>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</si>
  <si>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</si>
  <si>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</si>
  <si>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</si>
  <si>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</si>
  <si>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</si>
  <si>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</si>
  <si>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</si>
  <si>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</si>
  <si>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</si>
  <si>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</si>
  <si>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</si>
  <si>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</si>
  <si>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</si>
  <si>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</si>
  <si>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</si>
  <si>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</si>
  <si>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</si>
  <si>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</si>
  <si>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</si>
  <si>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</si>
  <si>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</si>
  <si>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</si>
  <si>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</si>
  <si>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</si>
  <si>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</si>
  <si>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</si>
  <si>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</si>
  <si>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</si>
  <si>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</si>
  <si>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</si>
  <si>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</si>
  <si>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</si>
  <si>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</si>
  <si>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</si>
  <si>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</si>
  <si>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</si>
  <si>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</si>
  <si>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</si>
  <si>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</si>
  <si>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</si>
  <si>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</si>
  <si>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</si>
  <si>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</si>
  <si>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</si>
  <si>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</si>
  <si>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</si>
  <si>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</si>
  <si>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</si>
  <si>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</si>
  <si>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</si>
  <si>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</si>
  <si>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</si>
  <si>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</si>
  <si>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</si>
  <si>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</si>
  <si>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</si>
  <si>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</si>
  <si>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</si>
  <si>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</si>
  <si>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</si>
  <si>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</si>
  <si>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</si>
  <si>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</si>
  <si>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</si>
  <si>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</si>
  <si>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</si>
  <si>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</si>
  <si>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</si>
  <si>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</si>
  <si>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</si>
  <si>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</si>
  <si>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</si>
  <si>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</si>
  <si>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</si>
  <si>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</si>
  <si>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</si>
  <si>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</si>
  <si>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</si>
  <si>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</si>
  <si>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</si>
  <si>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</si>
  <si>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</si>
  <si>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</si>
  <si>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</si>
  <si>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</si>
  <si>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</si>
  <si>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</si>
  <si>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</si>
  <si>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</si>
  <si>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</si>
  <si>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</si>
  <si>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</si>
  <si>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</si>
  <si>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</si>
  <si>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</si>
  <si>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</si>
  <si>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</si>
  <si>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</si>
  <si>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</si>
  <si>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</si>
  <si>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</si>
  <si>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</si>
  <si>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</si>
  <si>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</si>
  <si>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</si>
  <si>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</si>
  <si>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</si>
  <si>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</si>
  <si>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</si>
  <si>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</si>
  <si>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</si>
  <si>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</si>
  <si>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</si>
  <si>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</si>
  <si>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</si>
  <si>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</si>
  <si>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</si>
  <si>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</si>
  <si>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</si>
  <si>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</si>
  <si>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</si>
  <si>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</si>
  <si>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</si>
  <si>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</si>
  <si>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</si>
  <si>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</si>
  <si>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</si>
  <si>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</si>
  <si>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</si>
  <si>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</si>
  <si>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</si>
  <si>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</si>
  <si>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</si>
  <si>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</si>
  <si>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</si>
  <si>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</si>
  <si>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</si>
  <si>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</si>
  <si>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</si>
  <si>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</si>
  <si>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</si>
  <si>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</si>
  <si>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</si>
  <si>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</si>
  <si>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</si>
  <si>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</si>
  <si>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</si>
  <si>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</si>
  <si>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</si>
  <si>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</si>
  <si>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</si>
  <si>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</si>
  <si>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</si>
  <si>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</si>
  <si>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</si>
  <si>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</si>
  <si>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</si>
  <si>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</si>
  <si>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</si>
  <si>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</si>
  <si>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</si>
  <si>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</si>
  <si>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</si>
  <si>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</si>
  <si>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</si>
  <si>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</si>
  <si>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</si>
  <si>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</si>
  <si>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</si>
  <si>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</si>
  <si>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</si>
  <si>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</si>
  <si>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</si>
  <si>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</si>
  <si>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</si>
  <si>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</si>
  <si>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</si>
  <si>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</si>
  <si>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</si>
  <si>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</si>
  <si>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</si>
  <si>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</si>
  <si>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</si>
  <si>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</si>
  <si>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</si>
  <si>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</si>
  <si>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</si>
  <si>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</si>
  <si>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</si>
  <si>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</si>
  <si>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</si>
  <si>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</si>
  <si>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</si>
  <si>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</si>
  <si>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</si>
  <si>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</si>
  <si>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</si>
  <si>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</si>
  <si>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</si>
  <si>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</si>
  <si>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</si>
  <si>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</si>
  <si>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</si>
  <si>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</si>
  <si>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</si>
  <si>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</si>
  <si>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</si>
  <si>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</si>
  <si>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</si>
  <si>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</si>
  <si>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</si>
  <si>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</si>
  <si>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</si>
  <si>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</si>
  <si>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</si>
  <si>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</si>
  <si>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</si>
  <si>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</si>
  <si>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</si>
  <si>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</si>
  <si>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</si>
  <si>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</si>
  <si>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</si>
  <si>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</si>
  <si>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</si>
  <si>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</si>
  <si>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</si>
  <si>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</si>
  <si>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</si>
  <si>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</si>
  <si>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</si>
  <si>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</si>
  <si>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</si>
  <si>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</si>
  <si>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</si>
  <si>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</si>
  <si>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</si>
  <si>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</si>
  <si>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</si>
  <si>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</si>
  <si>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</si>
  <si>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</si>
  <si>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</si>
  <si>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</si>
  <si>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</si>
  <si>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</si>
  <si>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</si>
  <si>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</si>
  <si>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</si>
  <si>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</si>
  <si>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</si>
  <si>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</si>
  <si>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</si>
  <si>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</si>
  <si>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</si>
  <si>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</si>
  <si>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</si>
  <si>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</si>
  <si>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</si>
  <si>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</si>
  <si>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</si>
  <si>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</si>
  <si>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</si>
  <si>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</si>
  <si>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</si>
  <si>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</si>
  <si>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</si>
  <si>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</si>
  <si>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</si>
  <si>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</si>
  <si>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</si>
  <si>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</si>
  <si>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</si>
  <si>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</si>
  <si>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</si>
  <si>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</si>
  <si>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</si>
  <si>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</si>
  <si>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</si>
  <si>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</si>
  <si>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</si>
  <si>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</si>
  <si>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</si>
  <si>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</si>
  <si>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</si>
  <si>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</si>
  <si>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</si>
  <si>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</si>
  <si>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</si>
  <si>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</si>
  <si>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</si>
  <si>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</si>
  <si>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</si>
  <si>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</si>
  <si>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</si>
  <si>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</si>
  <si>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</si>
  <si>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</si>
  <si>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</si>
  <si>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</si>
  <si>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</si>
  <si>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</si>
  <si>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</si>
  <si>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</si>
  <si>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</si>
  <si>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</si>
  <si>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</si>
  <si>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</si>
  <si>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</si>
  <si>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</si>
  <si>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</si>
  <si>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</si>
  <si>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</si>
  <si>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</si>
  <si>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</si>
  <si>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</si>
  <si>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</si>
  <si>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</si>
  <si>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</si>
  <si>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</si>
  <si>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</si>
  <si>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</si>
  <si>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</si>
  <si>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</si>
  <si>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</si>
  <si>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</si>
  <si>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</si>
  <si>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</si>
  <si>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</si>
  <si>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</si>
  <si>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</si>
  <si>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</si>
  <si>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</si>
  <si>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</si>
  <si>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</si>
  <si>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</si>
  <si>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</si>
  <si>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</si>
  <si>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</si>
  <si>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</si>
  <si>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</si>
  <si>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</si>
  <si>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</si>
  <si>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</si>
  <si>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</si>
  <si>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</si>
  <si>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</si>
  <si>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</si>
  <si>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</si>
  <si>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</si>
  <si>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</si>
  <si>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</si>
  <si>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</si>
  <si>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</si>
  <si>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</si>
  <si>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</si>
  <si>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</si>
  <si>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</si>
  <si>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</si>
  <si>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</si>
  <si>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</si>
  <si>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</si>
  <si>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</si>
  <si>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</si>
  <si>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</si>
  <si>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</si>
  <si>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</si>
  <si>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</si>
  <si>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</si>
  <si>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</si>
  <si>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</si>
  <si>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</si>
  <si>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</si>
  <si>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</si>
  <si>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</si>
  <si>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</si>
  <si>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</si>
  <si>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</si>
  <si>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</si>
  <si>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</si>
  <si>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</si>
  <si>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</si>
  <si>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</si>
  <si>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</si>
  <si>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</si>
  <si>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</si>
  <si>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</si>
  <si>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</si>
  <si>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</si>
  <si>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</si>
  <si>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</si>
  <si>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</si>
  <si>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</si>
  <si>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</si>
  <si>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</si>
  <si>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</si>
  <si>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</si>
  <si>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</si>
  <si>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</si>
  <si>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</si>
  <si>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</si>
  <si>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</si>
  <si>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</si>
  <si>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</si>
  <si>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</si>
  <si>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</si>
  <si>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</si>
  <si>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</si>
  <si>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</si>
  <si>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</si>
  <si>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</si>
  <si>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</si>
  <si>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</si>
  <si>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</si>
  <si>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</si>
  <si>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</si>
  <si>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</si>
  <si>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</si>
  <si>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</si>
  <si>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</si>
  <si>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</si>
  <si>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</si>
  <si>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</si>
  <si>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</si>
  <si>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</si>
  <si>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</si>
  <si>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</si>
  <si>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</si>
  <si>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</si>
  <si>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</si>
  <si>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</si>
  <si>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</si>
  <si>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</si>
  <si>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</si>
  <si>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</si>
  <si>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</si>
  <si>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</si>
  <si>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</si>
  <si>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</si>
  <si>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</si>
  <si>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</si>
  <si>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</si>
  <si>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</si>
  <si>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</si>
  <si>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</si>
  <si>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</si>
  <si>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</si>
  <si>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</si>
  <si>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</si>
  <si>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</si>
  <si>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</si>
  <si>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</si>
  <si>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</si>
  <si>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</si>
  <si>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</si>
  <si>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</si>
  <si>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</si>
  <si>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</si>
  <si>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</si>
  <si>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</si>
  <si>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</si>
  <si>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</si>
  <si>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</si>
  <si>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</si>
  <si>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</si>
  <si>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</si>
  <si>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</si>
  <si>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</si>
  <si>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</si>
  <si>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</si>
  <si>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</si>
  <si>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</si>
  <si>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</si>
  <si>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</si>
  <si>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</si>
  <si>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</si>
  <si>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</si>
  <si>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</si>
  <si>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</si>
  <si>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</si>
  <si>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</si>
  <si>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</si>
  <si>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</si>
  <si>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</si>
  <si>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</si>
  <si>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</si>
  <si>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</si>
  <si>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</si>
  <si>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</si>
  <si>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</si>
  <si>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</si>
  <si>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</si>
  <si>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</si>
  <si>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</si>
  <si>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</si>
  <si>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</si>
  <si>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</si>
  <si>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</si>
  <si>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</si>
  <si>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</si>
  <si>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</si>
  <si>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</si>
  <si>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</si>
  <si>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</si>
  <si>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</si>
  <si>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</si>
  <si>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</si>
  <si>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</si>
  <si>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</si>
  <si>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</si>
  <si>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</si>
  <si>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</si>
  <si>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</si>
  <si>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</si>
  <si>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</si>
  <si>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</si>
  <si>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</si>
  <si>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</si>
  <si>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</si>
  <si>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</si>
  <si>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</si>
  <si>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</si>
  <si>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</si>
  <si>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</si>
  <si>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</si>
  <si>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</si>
  <si>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</si>
  <si>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</si>
  <si>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</si>
  <si>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</si>
  <si>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</si>
  <si>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</si>
  <si>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</si>
  <si>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</si>
  <si>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</si>
  <si>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</si>
  <si>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</si>
  <si>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</si>
  <si>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</si>
  <si>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</si>
  <si>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</si>
  <si>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</si>
  <si>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</si>
  <si>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</si>
  <si>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</si>
  <si>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</si>
  <si>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</si>
  <si>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</si>
  <si>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</si>
  <si>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</si>
  <si>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</si>
  <si>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</si>
  <si>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</si>
  <si>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</si>
  <si>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</si>
  <si>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</si>
  <si>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</si>
  <si>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</si>
  <si>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</si>
  <si>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</si>
  <si>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</si>
  <si>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</si>
  <si>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</si>
  <si>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</si>
  <si>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</si>
  <si>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</si>
  <si>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</si>
  <si>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</si>
  <si>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</si>
  <si>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</si>
  <si>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</si>
  <si>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</si>
  <si>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</si>
  <si>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</si>
  <si>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</si>
  <si>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</si>
  <si>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</si>
  <si>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</si>
  <si>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</si>
  <si>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</si>
  <si>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</si>
  <si>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</si>
  <si>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</si>
  <si>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</si>
  <si>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</si>
  <si>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</si>
  <si>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</si>
  <si>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</si>
  <si>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</si>
  <si>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</si>
  <si>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</si>
  <si>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</si>
  <si>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</si>
  <si>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</si>
  <si>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</si>
  <si>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</si>
  <si>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</si>
  <si>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</si>
  <si>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</si>
  <si>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</si>
  <si>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</si>
  <si>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</si>
  <si>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</si>
  <si>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</si>
  <si>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</si>
  <si>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</si>
  <si>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</si>
  <si>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</si>
  <si>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</si>
  <si>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</si>
  <si>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</si>
  <si>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</si>
  <si>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</si>
  <si>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</si>
  <si>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</si>
  <si>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</si>
  <si>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</si>
  <si>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</si>
  <si>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</si>
  <si>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</si>
  <si>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</si>
  <si>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</si>
  <si>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</si>
  <si>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</si>
  <si>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</si>
  <si>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</si>
  <si>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</si>
  <si>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</si>
  <si>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</si>
  <si>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</si>
  <si>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</si>
  <si>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</si>
  <si>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</si>
  <si>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</si>
  <si>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</si>
  <si>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</si>
  <si>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</si>
  <si>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</si>
  <si>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</si>
  <si>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</si>
  <si>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</si>
  <si>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</si>
  <si>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</si>
  <si>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</si>
  <si>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</si>
  <si>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</si>
  <si>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</si>
  <si>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</si>
  <si>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</si>
  <si>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</si>
  <si>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</si>
  <si>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</si>
  <si>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</si>
  <si>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</si>
  <si>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</si>
  <si>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</si>
  <si>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</si>
  <si>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</si>
  <si>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</si>
  <si>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</si>
  <si>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</si>
  <si>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</si>
  <si>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</si>
  <si>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</si>
  <si>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</si>
  <si>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</si>
  <si>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</si>
  <si>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</si>
  <si>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</si>
  <si>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</si>
  <si>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</si>
  <si>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</si>
  <si>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</si>
  <si>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</si>
  <si>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</si>
  <si>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</si>
  <si>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</si>
  <si>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</si>
  <si>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</si>
  <si>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</si>
  <si>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</si>
  <si>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</si>
  <si>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</si>
  <si>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</si>
  <si>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</si>
  <si>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</si>
  <si>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</si>
  <si>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</si>
  <si>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</si>
  <si>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</si>
  <si>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</si>
  <si>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</si>
  <si>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</si>
  <si>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</si>
  <si>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</si>
  <si>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</si>
  <si>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</si>
  <si>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</si>
  <si>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</si>
  <si>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</si>
  <si>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</si>
  <si>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</si>
  <si>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</si>
  <si>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</si>
  <si>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</si>
  <si>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</si>
  <si>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</si>
  <si>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</si>
  <si>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</si>
  <si>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</si>
  <si>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</si>
  <si>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</si>
  <si>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</si>
  <si>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</si>
  <si>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</si>
  <si>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</si>
  <si>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</si>
  <si>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</si>
  <si>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</si>
  <si>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</si>
  <si>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</si>
  <si>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</si>
  <si>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</si>
  <si>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</si>
  <si>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</si>
  <si>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</si>
  <si>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</si>
  <si>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</si>
  <si>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</si>
  <si>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</si>
  <si>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</si>
  <si>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</si>
  <si>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</si>
  <si>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</si>
  <si>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</si>
  <si>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</si>
  <si>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</si>
  <si>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</si>
  <si>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</si>
  <si>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</si>
  <si>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</si>
  <si>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</si>
  <si>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</si>
  <si>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</si>
  <si>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</si>
  <si>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</si>
  <si>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</si>
  <si>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</si>
  <si>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</si>
  <si>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</si>
  <si>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</si>
  <si>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</si>
  <si>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</si>
  <si>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</si>
  <si>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</si>
  <si>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</si>
  <si>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</si>
  <si>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</si>
  <si>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</si>
  <si>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</si>
  <si>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</si>
  <si>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</si>
  <si>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</si>
  <si>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</si>
  <si>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</si>
  <si>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</si>
  <si>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</si>
  <si>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</si>
  <si>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</si>
  <si>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</si>
  <si>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</si>
  <si>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</si>
  <si>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</si>
  <si>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</si>
  <si>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</si>
  <si>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</si>
  <si>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</si>
  <si>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</si>
  <si>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</si>
  <si>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</si>
  <si>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</si>
  <si>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</si>
  <si>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</si>
  <si>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</si>
  <si>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</si>
  <si>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</si>
  <si>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</si>
  <si>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</si>
  <si>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</si>
  <si>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</si>
  <si>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</si>
  <si>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</si>
  <si>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</si>
  <si>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</si>
  <si>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</si>
  <si>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</si>
  <si>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</si>
  <si>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</si>
  <si>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</si>
  <si>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</si>
  <si>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</si>
  <si>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</si>
  <si>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</si>
  <si>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</si>
  <si>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</si>
  <si>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</si>
  <si>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</si>
  <si>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</si>
  <si>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</si>
  <si>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</si>
  <si>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</si>
  <si>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</si>
  <si>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</si>
  <si>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</si>
  <si>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</si>
  <si>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</si>
  <si>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</si>
  <si>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</si>
  <si>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</si>
  <si>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</si>
  <si>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</si>
  <si>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</si>
  <si>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</si>
  <si>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</si>
  <si>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</si>
  <si>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</si>
  <si>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</si>
  <si>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</si>
  <si>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</si>
  <si>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</si>
  <si>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</si>
  <si>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</si>
  <si>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</si>
  <si>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</si>
  <si>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</si>
  <si>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</si>
  <si>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</si>
  <si>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</si>
  <si>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</si>
  <si>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</si>
  <si>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</si>
  <si>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</si>
  <si>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</si>
  <si>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</si>
  <si>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</si>
  <si>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</si>
  <si>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</si>
  <si>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</si>
  <si>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</si>
  <si>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</si>
  <si>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</si>
  <si>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</si>
  <si>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</si>
  <si>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</si>
  <si>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</si>
  <si>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</si>
  <si>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</si>
  <si>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</si>
  <si>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</si>
  <si>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</si>
  <si>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</si>
  <si>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</si>
  <si>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</si>
  <si>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</si>
  <si>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</si>
  <si>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</si>
  <si>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</si>
  <si>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</si>
  <si>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</si>
  <si>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</si>
  <si>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</si>
  <si>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</si>
  <si>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</si>
  <si>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</si>
  <si>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</si>
  <si>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</si>
  <si>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</si>
  <si>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</si>
  <si>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</si>
  <si>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</si>
  <si>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</si>
  <si>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</si>
  <si>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</si>
  <si>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</si>
  <si>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</si>
  <si>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</si>
  <si>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</si>
  <si>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</si>
  <si>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</si>
  <si>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</si>
  <si>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</si>
  <si>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</si>
  <si>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</si>
  <si>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</si>
  <si>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</si>
  <si>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</si>
  <si>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</si>
  <si>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</si>
  <si>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</si>
  <si>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</si>
  <si>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</si>
  <si>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</si>
  <si>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</si>
  <si>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</si>
  <si>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</si>
  <si>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</si>
  <si>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</si>
  <si>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</si>
  <si>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</si>
  <si>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</si>
  <si>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</si>
  <si>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</si>
  <si>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</si>
  <si>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</si>
  <si>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</si>
  <si>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</si>
  <si>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</si>
  <si>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</si>
  <si>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</si>
  <si>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</si>
  <si>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</si>
  <si>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</si>
  <si>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</si>
  <si>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</si>
  <si>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</si>
  <si>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</si>
  <si>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</si>
  <si>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</si>
  <si>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</si>
  <si>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</si>
  <si>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</si>
  <si>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</si>
  <si>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</si>
  <si>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</si>
  <si>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</si>
  <si>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</si>
  <si>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</si>
  <si>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</si>
  <si>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</si>
  <si>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</si>
  <si>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</si>
  <si>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</si>
  <si>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</si>
  <si>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</si>
  <si>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</si>
  <si>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</si>
  <si>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</si>
  <si>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</si>
  <si>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</si>
  <si>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</si>
  <si>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</si>
  <si>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</si>
  <si>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</si>
  <si>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</si>
  <si>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</si>
  <si>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</si>
  <si>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</si>
  <si>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</si>
  <si>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</si>
  <si>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</si>
  <si>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</si>
  <si>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</si>
  <si>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</si>
  <si>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</si>
  <si>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</si>
  <si>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</si>
  <si>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</si>
  <si>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</si>
  <si>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</si>
  <si>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</si>
  <si>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</si>
  <si>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</si>
  <si>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</si>
  <si>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</si>
  <si>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</si>
  <si>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</si>
  <si>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</si>
  <si>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</si>
  <si>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</si>
  <si>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</si>
  <si>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</si>
  <si>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</si>
  <si>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</si>
  <si>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</si>
  <si>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</si>
  <si>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</si>
  <si>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</si>
  <si>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</si>
  <si>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</si>
  <si>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</si>
  <si>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</si>
  <si>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</si>
  <si>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</si>
  <si>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</si>
  <si>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</si>
  <si>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</si>
  <si>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</si>
  <si>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</si>
  <si>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</si>
  <si>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</si>
  <si>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</si>
  <si>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</si>
  <si>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</si>
  <si>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</si>
  <si>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</si>
  <si>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</si>
  <si>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</si>
  <si>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</si>
  <si>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</si>
  <si>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</si>
  <si>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</si>
  <si>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</si>
  <si>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</si>
  <si>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</si>
  <si>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</si>
  <si>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</si>
  <si>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</si>
  <si>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</si>
  <si>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</si>
  <si>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</si>
  <si>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</si>
  <si>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</si>
  <si>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</si>
  <si>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</si>
  <si>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</si>
  <si>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</si>
  <si>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</si>
  <si>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</si>
  <si>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</si>
  <si>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</si>
  <si>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</si>
  <si>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</si>
  <si>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</si>
  <si>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</si>
  <si>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</si>
  <si>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</si>
  <si>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</si>
  <si>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</si>
  <si>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</si>
  <si>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</si>
  <si>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</si>
  <si>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</si>
  <si>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</si>
  <si>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</si>
  <si>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</si>
  <si>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</si>
  <si>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</si>
  <si>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</si>
  <si>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</si>
  <si>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</si>
  <si>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</si>
  <si>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</si>
  <si>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</si>
  <si>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</si>
  <si>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</si>
  <si>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</si>
  <si>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</si>
  <si>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</si>
  <si>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</si>
  <si>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</si>
  <si>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</si>
  <si>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</si>
  <si>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</si>
  <si>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</si>
  <si>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</si>
  <si>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</si>
  <si>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</si>
  <si>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</si>
  <si>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</si>
  <si>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</si>
  <si>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</si>
  <si>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</si>
  <si>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</si>
  <si>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</si>
  <si>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</si>
  <si>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</si>
  <si>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</si>
  <si>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</si>
  <si>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</si>
  <si>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</si>
  <si>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</si>
  <si>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</si>
  <si>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</si>
  <si>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</si>
  <si>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</si>
  <si>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</si>
  <si>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</si>
  <si>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</si>
  <si>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</si>
  <si>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</si>
  <si>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</si>
  <si>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</si>
  <si>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</si>
  <si>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</si>
  <si>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</si>
  <si>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</si>
  <si>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</si>
  <si>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</si>
  <si>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</si>
  <si>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</si>
  <si>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</si>
  <si>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</si>
  <si>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</si>
  <si>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</si>
  <si>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</si>
  <si>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</si>
  <si>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</si>
  <si>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</si>
  <si>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</si>
  <si>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</si>
  <si>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</si>
  <si>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</si>
  <si>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</si>
  <si>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</si>
  <si>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</si>
  <si>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</si>
  <si>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</si>
  <si>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</si>
  <si>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</si>
  <si>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</si>
  <si>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</si>
  <si>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</si>
  <si>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</si>
  <si>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</si>
  <si>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</si>
  <si>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</si>
  <si>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</si>
  <si>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</si>
  <si>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</si>
  <si>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</si>
  <si>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</si>
  <si>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</si>
  <si>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</si>
  <si>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</si>
  <si>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</si>
  <si>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</si>
  <si>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</si>
  <si>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</si>
  <si>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</si>
  <si>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</si>
  <si>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</si>
  <si>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</si>
  <si>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</si>
  <si>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</si>
  <si>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</si>
  <si>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</si>
  <si>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</si>
  <si>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</si>
  <si>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</si>
  <si>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</si>
  <si>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</si>
  <si>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</si>
  <si>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</si>
  <si>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</si>
  <si>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</si>
  <si>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</si>
  <si>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</si>
  <si>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</si>
  <si>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</si>
  <si>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</si>
  <si>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</si>
  <si>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</si>
  <si>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</si>
  <si>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</si>
  <si>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</si>
  <si>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</si>
  <si>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</si>
  <si>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</si>
  <si>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</si>
  <si>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</si>
  <si>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</si>
  <si>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</si>
  <si>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</si>
  <si>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</si>
  <si>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</si>
  <si>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</si>
  <si>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</si>
  <si>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</si>
  <si>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</si>
  <si>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</si>
  <si>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</si>
  <si>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</si>
  <si>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</si>
  <si>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</si>
  <si>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</si>
  <si>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</si>
  <si>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</si>
  <si>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</si>
  <si>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</si>
  <si>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</si>
  <si>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</si>
  <si>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</si>
  <si>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</si>
  <si>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</si>
  <si>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</si>
  <si>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</si>
  <si>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</si>
  <si>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</si>
  <si>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</si>
  <si>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</si>
  <si>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</si>
  <si>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</si>
  <si>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</si>
  <si>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</si>
  <si>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</si>
  <si>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</si>
  <si>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</si>
  <si>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</si>
  <si>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</si>
  <si>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</si>
  <si>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</si>
  <si>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</si>
  <si>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</si>
  <si>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</si>
  <si>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</si>
  <si>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</si>
  <si>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</si>
  <si>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</si>
  <si>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</si>
  <si>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</si>
  <si>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</si>
  <si>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</si>
  <si>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</si>
  <si>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</si>
  <si>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</si>
  <si>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</si>
  <si>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</si>
  <si>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</si>
  <si>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</si>
  <si>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</si>
  <si>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</si>
  <si>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</si>
  <si>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</si>
  <si>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</si>
  <si>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</si>
  <si>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</si>
  <si>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</si>
  <si>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</si>
  <si>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</si>
  <si>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</si>
  <si>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</si>
  <si>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</si>
  <si>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</si>
  <si>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</si>
  <si>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</si>
  <si>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</si>
  <si>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</si>
  <si>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</si>
  <si>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</si>
  <si>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</si>
  <si>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</si>
  <si>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</si>
  <si>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</si>
  <si>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</si>
  <si>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</si>
  <si>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</si>
  <si>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</si>
  <si>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</si>
  <si>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</si>
  <si>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</si>
  <si>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</si>
  <si>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</si>
  <si>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</si>
  <si>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</si>
  <si>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</si>
  <si>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</si>
  <si>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</si>
  <si>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</si>
  <si>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</si>
  <si>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</si>
  <si>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</si>
  <si>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</si>
  <si>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</si>
  <si>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</si>
  <si>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</si>
  <si>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</si>
  <si>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</si>
  <si>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</si>
  <si>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</si>
  <si>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</si>
  <si>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</si>
  <si>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</si>
  <si>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</si>
  <si>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</si>
  <si>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</si>
  <si>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</si>
  <si>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</si>
  <si>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</si>
  <si>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</si>
  <si>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</si>
  <si>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</si>
  <si>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</si>
  <si>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</si>
  <si>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</si>
  <si>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</si>
  <si>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</si>
  <si>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</si>
  <si>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</si>
  <si>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</si>
  <si>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</si>
  <si>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</si>
  <si>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</si>
  <si>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</si>
  <si>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</si>
  <si>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</si>
  <si>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</si>
  <si>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</si>
  <si>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</si>
  <si>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</si>
  <si>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</si>
  <si>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</si>
  <si>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</si>
  <si>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</si>
  <si>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</si>
  <si>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</si>
  <si>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</si>
  <si>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</si>
  <si>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</si>
  <si>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</si>
  <si>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</si>
  <si>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</si>
  <si>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</si>
  <si>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</si>
  <si>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</si>
  <si>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</si>
  <si>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</si>
  <si>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</si>
  <si>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</si>
  <si>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</si>
  <si>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</si>
  <si>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</si>
  <si>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</si>
  <si>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</si>
  <si>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</si>
  <si>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</si>
  <si>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</si>
  <si>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</si>
  <si>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</si>
  <si>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</si>
  <si>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</si>
  <si>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</si>
  <si>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</si>
  <si>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</si>
  <si>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</si>
  <si>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</si>
  <si>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</si>
  <si>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</si>
  <si>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</si>
  <si>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</si>
  <si>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</si>
  <si>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</si>
  <si>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</si>
  <si>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</si>
  <si>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</si>
  <si>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</si>
  <si>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</si>
  <si>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</si>
  <si>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</si>
  <si>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</si>
  <si>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</si>
  <si>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</si>
  <si>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</si>
  <si>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</si>
  <si>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</si>
  <si>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</si>
  <si>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</si>
  <si>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</si>
  <si>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</si>
  <si>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</si>
  <si>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</si>
  <si>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</si>
  <si>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</si>
  <si>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</si>
  <si>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</si>
  <si>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</si>
  <si>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</si>
  <si>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</si>
  <si>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</si>
  <si>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</si>
  <si>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</si>
  <si>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</si>
  <si>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</si>
  <si>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</si>
  <si>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</si>
  <si>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</si>
  <si>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</si>
  <si>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</si>
  <si>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</si>
  <si>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</si>
  <si>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</si>
  <si>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</si>
  <si>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</si>
  <si>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</si>
  <si>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</si>
  <si>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</si>
  <si>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</si>
  <si>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</si>
  <si>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</si>
  <si>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</si>
  <si>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</si>
  <si>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</si>
  <si>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</si>
  <si>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</si>
  <si>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</si>
  <si>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</si>
  <si>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</si>
  <si>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</si>
  <si>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</si>
  <si>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</si>
  <si>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</si>
  <si>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</si>
  <si>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</si>
  <si>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</si>
  <si>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</si>
  <si>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</si>
  <si>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</si>
  <si>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</si>
  <si>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</si>
  <si>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</si>
  <si>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</si>
  <si>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</si>
  <si>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</si>
  <si>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</si>
  <si>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</si>
  <si>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</si>
  <si>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</si>
  <si>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</si>
  <si>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</si>
  <si>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</si>
  <si>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</si>
  <si>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</si>
  <si>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</si>
  <si>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</si>
  <si>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</si>
  <si>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</si>
  <si>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</si>
  <si>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</si>
  <si>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</si>
  <si>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</si>
  <si>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</si>
  <si>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</si>
  <si>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</si>
  <si>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</si>
  <si>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</si>
  <si>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</si>
  <si>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</si>
  <si>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</si>
  <si>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</si>
  <si>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</si>
  <si>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</si>
  <si>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</si>
  <si>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</si>
  <si>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</si>
  <si>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</si>
  <si>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</si>
  <si>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</si>
  <si>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</si>
  <si>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</si>
  <si>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</si>
  <si>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</si>
  <si>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</si>
  <si>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</si>
  <si>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</si>
  <si>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</si>
  <si>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</si>
  <si>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</si>
  <si>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</si>
  <si>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</si>
  <si>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</si>
  <si>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</si>
  <si>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</si>
  <si>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</si>
  <si>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</si>
  <si>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</si>
  <si>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</si>
  <si>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</si>
  <si>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</si>
  <si>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</si>
  <si>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</si>
  <si>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</si>
  <si>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</si>
  <si>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</si>
  <si>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</si>
  <si>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</si>
  <si>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</si>
  <si>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</si>
  <si>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</si>
  <si>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</si>
  <si>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</si>
  <si>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</si>
  <si>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</si>
  <si>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</si>
  <si>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</si>
  <si>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</si>
  <si>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</si>
  <si>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</si>
  <si>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</si>
  <si>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</si>
  <si>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</si>
  <si>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</si>
  <si>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</si>
  <si>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</si>
  <si>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</si>
  <si>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</si>
  <si>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</si>
  <si>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</si>
  <si>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</si>
  <si>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</si>
  <si>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</si>
  <si>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</si>
  <si>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</si>
  <si>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</si>
  <si>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</si>
  <si>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</si>
  <si>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</si>
  <si>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</si>
  <si>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</si>
  <si>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</si>
  <si>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</si>
  <si>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</si>
  <si>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</si>
  <si>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</si>
  <si>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</si>
  <si>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</si>
  <si>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</si>
  <si>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</si>
  <si>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</si>
  <si>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</si>
  <si>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</si>
  <si>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</si>
  <si>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</si>
  <si>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</si>
  <si>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</si>
  <si>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</si>
  <si>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</si>
  <si>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</si>
  <si>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</si>
  <si>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</si>
  <si>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</si>
  <si>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</si>
  <si>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</si>
  <si>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</si>
  <si>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</si>
  <si>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</si>
  <si>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</si>
  <si>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</si>
  <si>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</si>
  <si>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</si>
  <si>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</si>
  <si>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</si>
  <si>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</si>
  <si>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</si>
  <si>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</si>
  <si>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</si>
  <si>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</si>
  <si>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</si>
  <si>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</si>
  <si>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</si>
  <si>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</si>
  <si>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</si>
  <si>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</si>
  <si>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</si>
  <si>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</si>
  <si>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</si>
  <si>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</si>
  <si>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</si>
  <si>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</si>
  <si>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</si>
  <si>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</si>
  <si>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</si>
  <si>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</si>
  <si>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</si>
  <si>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</si>
  <si>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</si>
  <si>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</si>
  <si>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</si>
  <si>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</si>
  <si>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</si>
  <si>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</si>
  <si>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</si>
  <si>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</si>
  <si>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</si>
  <si>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</si>
  <si>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</si>
  <si>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</si>
  <si>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</si>
  <si>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</si>
  <si>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</si>
  <si>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</si>
  <si>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</si>
  <si>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</si>
  <si>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</si>
  <si>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</si>
  <si>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</si>
  <si>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</si>
  <si>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</si>
  <si>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</si>
  <si>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</si>
  <si>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</si>
  <si>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</si>
  <si>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</si>
  <si>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</si>
  <si>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</si>
  <si>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</si>
  <si>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</si>
  <si>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</si>
  <si>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</si>
  <si>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</si>
  <si>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</si>
  <si>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</si>
  <si>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</si>
  <si>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</si>
  <si>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</si>
  <si>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</si>
  <si>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</si>
  <si>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</si>
  <si>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</si>
  <si>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</si>
  <si>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</si>
  <si>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</si>
  <si>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</si>
  <si>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</si>
  <si>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</si>
  <si>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</si>
  <si>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</si>
  <si>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</si>
  <si>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</si>
  <si>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</si>
  <si>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</si>
  <si>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</si>
  <si>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</si>
  <si>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</si>
  <si>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</si>
  <si>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</si>
  <si>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</si>
  <si>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</si>
  <si>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</si>
  <si>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</si>
  <si>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</si>
  <si>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</si>
  <si>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</si>
  <si>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</si>
  <si>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</si>
  <si>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</si>
  <si>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</si>
  <si>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</si>
  <si>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</si>
  <si>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</si>
  <si>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</si>
  <si>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</si>
  <si>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</si>
  <si>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</si>
  <si>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</si>
  <si>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</si>
  <si>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</si>
  <si>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</si>
  <si>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</si>
  <si>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</si>
  <si>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</si>
  <si>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</si>
  <si>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</si>
  <si>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</si>
  <si>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</si>
  <si>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</si>
  <si>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</si>
  <si>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</si>
  <si>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</si>
  <si>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</si>
  <si>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</si>
  <si>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</si>
  <si>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</si>
  <si>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</si>
  <si>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</si>
  <si>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</si>
  <si>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</si>
  <si>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</si>
  <si>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</si>
  <si>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</si>
  <si>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</si>
  <si>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</si>
  <si>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</si>
  <si>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</si>
  <si>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</si>
  <si>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</si>
  <si>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</si>
  <si>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</si>
  <si>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</si>
  <si>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</si>
  <si>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</si>
  <si>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</si>
  <si>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</si>
  <si>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</si>
  <si>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</si>
  <si>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</si>
  <si>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</si>
  <si>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</si>
  <si>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</si>
  <si>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</si>
  <si>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</si>
  <si>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</si>
  <si>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</si>
  <si>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</si>
  <si>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</si>
  <si>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</si>
  <si>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</si>
  <si>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</si>
  <si>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</si>
  <si>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</si>
  <si>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</si>
  <si>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</si>
  <si>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</si>
  <si>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</si>
  <si>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</si>
  <si>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</si>
  <si>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</si>
  <si>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</si>
  <si>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</si>
  <si>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</si>
  <si>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</si>
  <si>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</si>
  <si>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</si>
  <si>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</si>
  <si>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</si>
  <si>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</si>
  <si>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</si>
  <si>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</si>
  <si>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</si>
  <si>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</si>
  <si>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</si>
  <si>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</si>
  <si>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</si>
  <si>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</si>
  <si>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</si>
  <si>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</si>
  <si>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</si>
  <si>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</si>
  <si>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</si>
  <si>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</si>
  <si>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</si>
  <si>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</si>
  <si>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</si>
  <si>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</si>
  <si>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</si>
  <si>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</si>
  <si>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</si>
  <si>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</si>
  <si>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</si>
  <si>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</si>
  <si>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</si>
  <si>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</si>
  <si>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</si>
  <si>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</si>
  <si>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</si>
  <si>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</si>
  <si>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</si>
  <si>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</si>
  <si>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</si>
  <si>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</si>
  <si>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</si>
  <si>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</si>
  <si>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</si>
  <si>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</si>
  <si>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</si>
  <si>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</si>
  <si>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</si>
  <si>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</si>
  <si>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</si>
  <si>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</si>
  <si>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</si>
  <si>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</si>
  <si>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</si>
  <si>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</si>
  <si>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</si>
  <si>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</si>
  <si>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</si>
  <si>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</si>
  <si>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</si>
  <si>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</si>
  <si>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</si>
  <si>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</si>
  <si>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</si>
  <si>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</si>
  <si>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</si>
  <si>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</si>
  <si>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</si>
  <si>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</si>
  <si>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</si>
  <si>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</si>
  <si>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</si>
  <si>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</si>
  <si>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</si>
  <si>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</si>
  <si>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</si>
  <si>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</si>
  <si>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</si>
  <si>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</si>
  <si>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</si>
  <si>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</si>
  <si>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</si>
  <si>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</si>
  <si>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</si>
  <si>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</si>
  <si>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</si>
  <si>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</si>
  <si>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</si>
  <si>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</si>
  <si>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</si>
  <si>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</si>
  <si>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</si>
  <si>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</si>
  <si>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</si>
  <si>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</si>
  <si>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</si>
  <si>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</si>
  <si>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</si>
  <si>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</si>
  <si>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</si>
  <si>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</si>
  <si>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</si>
  <si>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</si>
  <si>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</si>
  <si>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</si>
  <si>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</si>
  <si>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</si>
  <si>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</si>
  <si>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</si>
  <si>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</si>
  <si>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</si>
  <si>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</si>
  <si>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</si>
  <si>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</si>
  <si>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</si>
  <si>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</si>
  <si>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</si>
  <si>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</si>
  <si>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</si>
  <si>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</si>
  <si>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</si>
  <si>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</si>
  <si>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</si>
  <si>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</si>
  <si>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</si>
  <si>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</si>
  <si>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</si>
  <si>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</si>
  <si>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</si>
  <si>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</si>
  <si>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</si>
  <si>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</si>
  <si>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</si>
  <si>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</si>
  <si>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</si>
  <si>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</si>
  <si>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</si>
  <si>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</si>
  <si>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</si>
  <si>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</si>
  <si>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</si>
  <si>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</si>
  <si>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</si>
  <si>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</si>
  <si>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</si>
  <si>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</si>
  <si>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</si>
  <si>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</si>
  <si>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</si>
  <si>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</si>
  <si>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</si>
  <si>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</si>
  <si>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</si>
  <si>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</si>
  <si>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</si>
  <si>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</si>
  <si>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</si>
  <si>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</si>
  <si>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</si>
  <si>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</si>
  <si>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</si>
  <si>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</si>
  <si>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</si>
  <si>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</si>
  <si>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</si>
  <si>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</si>
  <si>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</si>
  <si>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</si>
  <si>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</si>
  <si>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</si>
  <si>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</si>
  <si>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</si>
  <si>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</si>
  <si>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</si>
  <si>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</si>
  <si>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</si>
  <si>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</si>
  <si>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</si>
  <si>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</si>
  <si>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</si>
  <si>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</si>
  <si>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</si>
  <si>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</si>
  <si>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</si>
  <si>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</si>
  <si>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</si>
  <si>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</si>
  <si>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</si>
  <si>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</si>
  <si>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</si>
  <si>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</si>
  <si>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</si>
  <si>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</si>
  <si>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</si>
  <si>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</si>
  <si>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</si>
  <si>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</si>
  <si>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</si>
  <si>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</si>
  <si>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</si>
  <si>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</si>
  <si>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</si>
  <si>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</si>
  <si>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</si>
  <si>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</si>
  <si>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</si>
  <si>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</si>
  <si>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</si>
  <si>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</si>
  <si>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</si>
  <si>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</si>
  <si>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</si>
  <si>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</si>
  <si>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</si>
  <si>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</si>
  <si>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</si>
  <si>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</si>
  <si>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</si>
  <si>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</si>
  <si>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</si>
  <si>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</si>
  <si>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</si>
  <si>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</si>
  <si>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</si>
  <si>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</si>
  <si>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</si>
  <si>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</si>
  <si>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</si>
  <si>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</si>
  <si>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</si>
  <si>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</si>
  <si>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</si>
  <si>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</si>
  <si>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</si>
  <si>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</si>
  <si>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</si>
  <si>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</si>
  <si>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</si>
  <si>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</si>
  <si>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</si>
  <si>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</si>
  <si>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</si>
  <si>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</si>
  <si>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</si>
  <si>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</si>
  <si>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</si>
  <si>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</si>
  <si>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</si>
  <si>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</si>
  <si>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</si>
  <si>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</si>
  <si>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</si>
  <si>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</si>
  <si>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</si>
  <si>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</si>
  <si>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</si>
  <si>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</si>
  <si>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</si>
  <si>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</si>
  <si>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</si>
  <si>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</si>
  <si>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</si>
  <si>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</si>
  <si>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</si>
  <si>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</si>
  <si>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</si>
  <si>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</si>
  <si>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</si>
  <si>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</si>
  <si>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</si>
  <si>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</si>
  <si>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</si>
  <si>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</si>
  <si>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</si>
  <si>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</si>
  <si>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</si>
  <si>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</si>
  <si>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</si>
  <si>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</si>
  <si>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</si>
  <si>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</si>
  <si>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</si>
  <si>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</si>
  <si>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</si>
  <si>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</si>
  <si>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</si>
  <si>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</si>
  <si>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</si>
  <si>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</si>
  <si>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</si>
  <si>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</si>
  <si>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</si>
  <si>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</si>
  <si>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</si>
  <si>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</si>
  <si>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</si>
  <si>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</si>
  <si>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</si>
  <si>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</si>
  <si>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</si>
  <si>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</si>
  <si>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</si>
  <si>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</si>
  <si>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</si>
  <si>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</si>
  <si>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</si>
  <si>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</si>
  <si>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</si>
  <si>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</si>
  <si>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</si>
  <si>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</si>
  <si>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</si>
  <si>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</si>
  <si>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</si>
  <si>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</si>
  <si>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</si>
  <si>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</si>
  <si>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</si>
  <si>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</si>
  <si>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</si>
  <si>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</si>
  <si>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</si>
  <si>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</si>
  <si>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</si>
  <si>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</si>
  <si>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</si>
  <si>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</si>
  <si>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</si>
  <si>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</si>
  <si>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</si>
  <si>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</si>
  <si>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</si>
  <si>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</si>
  <si>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</si>
  <si>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</si>
  <si>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</si>
  <si>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</si>
  <si>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</si>
  <si>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</si>
  <si>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</si>
  <si>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</si>
  <si>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</si>
  <si>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</si>
  <si>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</si>
  <si>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</si>
  <si>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</si>
  <si>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</si>
  <si>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</si>
  <si>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</si>
  <si>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</si>
  <si>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</si>
  <si>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</si>
  <si>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</si>
  <si>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</si>
  <si>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</si>
  <si>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</si>
  <si>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</si>
  <si>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</si>
  <si>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</si>
  <si>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</si>
  <si>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</si>
  <si>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</si>
  <si>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</si>
  <si>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</si>
  <si>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</si>
  <si>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</si>
  <si>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</si>
  <si>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</si>
  <si>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</si>
  <si>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</si>
  <si>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</si>
  <si>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</si>
  <si>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</si>
  <si>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</si>
  <si>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</si>
  <si>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</si>
  <si>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</si>
  <si>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</si>
  <si>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</si>
  <si>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</si>
  <si>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</si>
  <si>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</si>
  <si>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</si>
  <si>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</si>
  <si>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</si>
  <si>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</si>
  <si>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</si>
  <si>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</si>
  <si>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</si>
  <si>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</si>
  <si>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</si>
  <si>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</si>
  <si>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</si>
  <si>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</si>
  <si>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</si>
  <si>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</si>
  <si>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</si>
  <si>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</si>
  <si>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</si>
  <si>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</si>
  <si>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</si>
  <si>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</si>
  <si>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</si>
  <si>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</si>
  <si>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</si>
  <si>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</si>
  <si>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</si>
  <si>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</si>
  <si>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</si>
  <si>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</si>
  <si>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</si>
  <si>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</si>
  <si>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</si>
  <si>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</si>
  <si>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</si>
  <si>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</si>
  <si>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</si>
  <si>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</si>
  <si>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</si>
  <si>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</si>
  <si>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</si>
  <si>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</si>
  <si>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</si>
  <si>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</si>
  <si>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</si>
  <si>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</si>
  <si>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</si>
  <si>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</si>
  <si>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</si>
  <si>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</si>
  <si>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</si>
  <si>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</si>
  <si>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</si>
  <si>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</si>
  <si>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</si>
  <si>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</si>
  <si>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</si>
  <si>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</si>
  <si>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</si>
  <si>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</si>
  <si>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</si>
  <si>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</si>
  <si>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</si>
  <si>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</si>
  <si>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</si>
  <si>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</si>
  <si>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</si>
  <si>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</si>
  <si>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</si>
  <si>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</si>
  <si>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</si>
  <si>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</si>
  <si>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</si>
  <si>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</si>
  <si>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</si>
  <si>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</si>
  <si>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</si>
  <si>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</si>
  <si>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</si>
  <si>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</si>
  <si>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</si>
  <si>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</si>
  <si>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</si>
  <si>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</si>
  <si>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</si>
  <si>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</si>
  <si>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</si>
  <si>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</si>
  <si>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</si>
  <si>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</si>
  <si>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</si>
  <si>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</si>
  <si>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</si>
  <si>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</si>
  <si>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</si>
  <si>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</si>
  <si>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</si>
  <si>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</si>
  <si>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</si>
  <si>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</si>
  <si>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</si>
  <si>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</si>
  <si>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</si>
  <si>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</si>
  <si>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</si>
  <si>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</si>
  <si>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</si>
  <si>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</si>
  <si>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</si>
  <si>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</si>
  <si>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</si>
  <si>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</si>
  <si>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</si>
  <si>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</si>
  <si>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</si>
  <si>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</si>
  <si>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</si>
  <si>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</si>
  <si>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</si>
  <si>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</si>
  <si>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</si>
  <si>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</si>
  <si>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</si>
  <si>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</si>
  <si>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</si>
  <si>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</si>
  <si>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</si>
  <si>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</si>
  <si>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</si>
  <si>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</si>
  <si>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</si>
  <si>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</si>
  <si>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</si>
  <si>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</si>
  <si>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</si>
  <si>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</si>
  <si>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</si>
  <si>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</si>
  <si>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</si>
  <si>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</si>
  <si>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</si>
  <si>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</si>
  <si>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</si>
  <si>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</si>
  <si>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</si>
  <si>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</si>
  <si>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</si>
  <si>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</si>
  <si>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</si>
  <si>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</si>
  <si>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</si>
  <si>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</si>
  <si>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</si>
  <si>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</si>
  <si>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</si>
  <si>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</si>
  <si>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</si>
  <si>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</si>
  <si>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</si>
  <si>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</si>
  <si>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</si>
  <si>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</si>
  <si>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</si>
  <si>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</si>
  <si>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</si>
  <si>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</si>
  <si>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</si>
  <si>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</si>
  <si>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</si>
  <si>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</si>
  <si>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</si>
  <si>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</si>
  <si>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</si>
  <si>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</si>
  <si>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</si>
  <si>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</si>
  <si>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</si>
  <si>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</si>
  <si>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</si>
  <si>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</si>
  <si>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</si>
  <si>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</si>
  <si>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</si>
  <si>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</si>
  <si>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</si>
  <si>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</si>
  <si>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</si>
  <si>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</si>
  <si>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</si>
  <si>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</si>
  <si>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</si>
  <si>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</si>
  <si>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</si>
  <si>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</si>
  <si>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</si>
  <si>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</si>
  <si>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</si>
  <si>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</si>
  <si>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</si>
  <si>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</si>
  <si>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</si>
  <si>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</si>
  <si>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</si>
  <si>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</si>
  <si>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</si>
  <si>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</si>
  <si>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</si>
  <si>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</si>
  <si>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</si>
  <si>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</si>
  <si>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</si>
  <si>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</si>
  <si>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</si>
  <si>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</si>
  <si>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</si>
  <si>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</si>
  <si>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</si>
  <si>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</si>
  <si>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</si>
  <si>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</si>
  <si>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</si>
  <si>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</si>
  <si>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</si>
  <si>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</si>
  <si>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</si>
  <si>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</si>
  <si>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</si>
  <si>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</si>
  <si>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</si>
  <si>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</si>
  <si>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</si>
  <si>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</si>
  <si>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</si>
  <si>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</si>
  <si>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</si>
  <si>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</si>
  <si>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</si>
  <si>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</si>
  <si>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</si>
  <si>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</si>
  <si>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</si>
  <si>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</si>
  <si>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</si>
  <si>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</si>
  <si>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</si>
  <si>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</si>
  <si>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</si>
  <si>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</si>
  <si>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</si>
  <si>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</si>
  <si>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</si>
  <si>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</si>
  <si>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</si>
  <si>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</si>
  <si>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</si>
  <si>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</si>
  <si>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</si>
  <si>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</si>
  <si>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</si>
  <si>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</si>
  <si>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</si>
  <si>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</si>
  <si>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</si>
  <si>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</si>
  <si>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</si>
  <si>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</si>
  <si>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</si>
  <si>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</si>
  <si>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</si>
  <si>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</si>
  <si>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</si>
  <si>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</si>
  <si>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</si>
  <si>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</si>
  <si>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</si>
  <si>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</si>
  <si>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</si>
  <si>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</si>
  <si>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</si>
  <si>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</si>
  <si>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</si>
  <si>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</si>
  <si>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</si>
  <si>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</si>
  <si>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</si>
  <si>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</si>
  <si>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</si>
  <si>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</si>
  <si>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</si>
  <si>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</si>
  <si>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</si>
  <si>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</si>
  <si>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</si>
  <si>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</si>
  <si>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</si>
  <si>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</si>
  <si>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</si>
  <si>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</si>
  <si>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</si>
  <si>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</si>
  <si>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</si>
  <si>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</si>
  <si>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</si>
  <si>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</si>
  <si>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</si>
  <si>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</si>
  <si>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</si>
  <si>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</si>
  <si>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</si>
  <si>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</si>
  <si>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</si>
  <si>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</si>
  <si>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</si>
  <si>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</si>
  <si>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</si>
  <si>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</si>
  <si>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</si>
  <si>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</si>
  <si>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</si>
  <si>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</si>
  <si>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</si>
  <si>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</si>
  <si>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</si>
  <si>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</si>
  <si>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</si>
  <si>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</si>
  <si>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</si>
  <si>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</si>
  <si>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</si>
  <si>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</si>
  <si>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</si>
  <si>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</si>
  <si>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</si>
  <si>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</si>
  <si>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</si>
  <si>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</si>
  <si>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</si>
  <si>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</si>
  <si>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</si>
  <si>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</si>
  <si>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</si>
  <si>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</si>
  <si>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</si>
  <si>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</si>
  <si>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</si>
  <si>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</si>
  <si>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</si>
  <si>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</si>
  <si>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</si>
  <si>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</si>
  <si>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</si>
  <si>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</si>
  <si>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</si>
  <si>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</si>
  <si>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</si>
  <si>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</si>
  <si>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</si>
  <si>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</si>
  <si>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</si>
  <si>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</si>
  <si>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</si>
  <si>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</si>
  <si>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</si>
  <si>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</si>
  <si>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</si>
  <si>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</si>
  <si>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</si>
  <si>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</si>
  <si>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</si>
  <si>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</si>
  <si>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</si>
  <si>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</si>
  <si>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</si>
  <si>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</si>
  <si>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</si>
  <si>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</si>
  <si>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</si>
  <si>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</si>
  <si>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</si>
  <si>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</si>
  <si>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</si>
  <si>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</si>
  <si>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</si>
  <si>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</si>
  <si>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</si>
  <si>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</si>
  <si>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</si>
  <si>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</si>
  <si>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</si>
  <si>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</si>
  <si>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</si>
  <si>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</si>
  <si>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</si>
  <si>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</si>
  <si>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</si>
  <si>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</si>
  <si>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</si>
  <si>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</si>
  <si>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</si>
  <si>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</si>
  <si>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</si>
  <si>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</si>
  <si>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</si>
  <si>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</si>
  <si>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</si>
  <si>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</si>
  <si>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</si>
  <si>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</si>
  <si>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</si>
  <si>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</si>
  <si>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</si>
  <si>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</si>
  <si>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</si>
  <si>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</si>
  <si>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</si>
  <si>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</si>
  <si>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</si>
  <si>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</si>
  <si>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</si>
  <si>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</si>
  <si>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</si>
  <si>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</si>
  <si>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</si>
  <si>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</si>
  <si>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</si>
  <si>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</si>
  <si>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</si>
  <si>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</si>
  <si>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</si>
  <si>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</si>
  <si>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</si>
  <si>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</si>
  <si>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</si>
  <si>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</si>
  <si>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</si>
  <si>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</si>
  <si>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</si>
  <si>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</si>
  <si>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</si>
  <si>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</si>
  <si>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</si>
  <si>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</si>
  <si>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</si>
  <si>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</si>
  <si>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</si>
  <si>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</si>
  <si>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</si>
  <si>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</si>
  <si>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</si>
  <si>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</si>
  <si>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</si>
  <si>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</si>
  <si>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</si>
  <si>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</si>
  <si>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</si>
  <si>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</si>
  <si>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</si>
  <si>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</si>
  <si>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</si>
  <si>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</si>
  <si>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</si>
  <si>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</si>
  <si>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</si>
  <si>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</si>
  <si>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</si>
  <si>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</si>
  <si>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</si>
  <si>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</si>
  <si>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</si>
  <si>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</si>
  <si>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</si>
  <si>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</si>
  <si>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</si>
  <si>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</si>
  <si>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</si>
  <si>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</si>
  <si>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</si>
  <si>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</si>
  <si>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</si>
  <si>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</si>
  <si>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</si>
  <si>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</si>
  <si>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</si>
  <si>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</si>
  <si>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</si>
  <si>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</si>
  <si>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</si>
  <si>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</si>
  <si>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</si>
  <si>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</si>
  <si>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</si>
  <si>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</si>
  <si>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</si>
  <si>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</si>
  <si>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</si>
  <si>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</si>
  <si>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</si>
  <si>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</si>
  <si>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</si>
  <si>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</si>
  <si>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</si>
  <si>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</si>
  <si>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</si>
  <si>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</si>
  <si>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</si>
  <si>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</si>
  <si>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</si>
  <si>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</si>
  <si>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</si>
  <si>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</si>
  <si>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</si>
  <si>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</si>
  <si>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</si>
  <si>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</si>
  <si>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</si>
  <si>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</si>
  <si>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</si>
  <si>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</si>
  <si>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</si>
  <si>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</si>
  <si>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</si>
  <si>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</si>
  <si>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</si>
  <si>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</si>
  <si>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</si>
  <si>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</si>
  <si>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</si>
  <si>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</si>
  <si>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</si>
  <si>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</si>
  <si>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</si>
  <si>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</si>
  <si>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</si>
  <si>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</si>
  <si>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</si>
  <si>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</si>
  <si>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</si>
  <si>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</si>
  <si>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</si>
  <si>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</si>
  <si>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</si>
  <si>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</si>
  <si>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</si>
  <si>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</si>
  <si>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</si>
  <si>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</si>
  <si>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</si>
  <si>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</si>
  <si>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</si>
  <si>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</si>
  <si>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</si>
  <si>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</si>
  <si>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</si>
  <si>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</si>
  <si>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</si>
  <si>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</si>
  <si>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</si>
  <si>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</si>
  <si>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</si>
  <si>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</si>
  <si>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</si>
  <si>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</si>
  <si>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</si>
  <si>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</si>
  <si>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</si>
  <si>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</si>
  <si>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</si>
  <si>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</si>
  <si>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</si>
  <si>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</si>
  <si>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</si>
  <si>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</si>
  <si>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</si>
  <si>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</si>
  <si>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</si>
  <si>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</si>
  <si>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</si>
  <si>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</si>
  <si>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</si>
  <si>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</si>
  <si>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</si>
  <si>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</si>
  <si>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</si>
  <si>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</si>
  <si>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</si>
  <si>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</si>
  <si>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</si>
  <si>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</si>
  <si>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</si>
  <si>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</si>
  <si>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</si>
  <si>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</si>
  <si>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</si>
  <si>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</si>
  <si>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</si>
  <si>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</si>
  <si>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</si>
  <si>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</si>
  <si>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</si>
  <si>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</si>
  <si>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</si>
  <si>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</si>
  <si>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</si>
  <si>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</si>
  <si>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</si>
  <si>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</si>
  <si>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</si>
  <si>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</si>
  <si>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</si>
  <si>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</si>
  <si>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</si>
  <si>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</si>
  <si>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</si>
  <si>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</si>
  <si>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</si>
  <si>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</si>
  <si>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</si>
  <si>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</si>
  <si>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</si>
  <si>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</si>
  <si>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</si>
  <si>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</si>
  <si>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</si>
  <si>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</si>
  <si>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</si>
  <si>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</si>
  <si>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</si>
  <si>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</si>
  <si>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</si>
  <si>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</si>
  <si>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</si>
  <si>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</si>
  <si>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</si>
  <si>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</si>
  <si>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</si>
  <si>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</si>
  <si>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</si>
  <si>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</si>
  <si>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</si>
  <si>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</si>
  <si>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</si>
  <si>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</si>
  <si>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</si>
  <si>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</si>
  <si>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</si>
  <si>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</si>
  <si>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</si>
  <si>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</si>
  <si>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</si>
  <si>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</si>
  <si>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</si>
  <si>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</si>
  <si>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</si>
  <si>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</si>
  <si>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</si>
  <si>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</si>
  <si>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</si>
  <si>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</si>
  <si>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</si>
  <si>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</si>
  <si>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</si>
  <si>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</si>
  <si>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</si>
  <si>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</si>
  <si>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</si>
  <si>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</si>
  <si>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</si>
  <si>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</si>
  <si>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</si>
  <si>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</si>
  <si>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</si>
  <si>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</si>
  <si>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</si>
  <si>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</si>
  <si>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</si>
  <si>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</si>
  <si>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</si>
  <si>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</si>
  <si>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</si>
  <si>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</si>
  <si>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</si>
  <si>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</si>
  <si>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</si>
  <si>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</si>
  <si>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</si>
  <si>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</si>
  <si>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</si>
  <si>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</si>
  <si>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</si>
  <si>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</si>
  <si>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</si>
  <si>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</si>
  <si>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</si>
  <si>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</si>
  <si>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</si>
  <si>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</si>
  <si>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</si>
  <si>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</si>
  <si>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</si>
  <si>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</si>
  <si>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</si>
  <si>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</si>
  <si>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</si>
  <si>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</si>
  <si>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</si>
  <si>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</si>
  <si>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</si>
  <si>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</si>
  <si>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</si>
  <si>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</si>
  <si>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</si>
  <si>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</si>
  <si>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</si>
  <si>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</si>
  <si>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</si>
  <si>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</si>
  <si>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</si>
  <si>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</si>
  <si>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</si>
  <si>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</si>
  <si>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</si>
  <si>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</si>
  <si>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</si>
  <si>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</si>
  <si>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</si>
  <si>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</si>
  <si>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</si>
  <si>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</si>
  <si>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</si>
  <si>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</si>
  <si>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</si>
  <si>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</si>
  <si>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</si>
  <si>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</si>
  <si>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</si>
  <si>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</si>
  <si>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</si>
  <si>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</si>
  <si>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</si>
  <si>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</si>
  <si>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</si>
  <si>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</si>
  <si>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</si>
  <si>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</si>
  <si>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</si>
  <si>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</si>
  <si>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105071</t>
  </si>
  <si>
    <t>158758</t>
  </si>
  <si>
    <t>538</t>
  </si>
  <si>
    <t>104770</t>
  </si>
  <si>
    <t>158270</t>
  </si>
  <si>
    <t>618</t>
  </si>
  <si>
    <t>77610</t>
  </si>
  <si>
    <t>154839</t>
  </si>
  <si>
    <t>755</t>
  </si>
  <si>
    <t>76992</t>
  </si>
  <si>
    <t>154069</t>
  </si>
  <si>
    <t>895</t>
  </si>
  <si>
    <t>2617</t>
  </si>
  <si>
    <t>181906</t>
  </si>
  <si>
    <t>350391</t>
  </si>
  <si>
    <t>181011</t>
  </si>
  <si>
    <t>348775</t>
  </si>
  <si>
    <t>997</t>
  </si>
  <si>
    <t>127707</t>
  </si>
  <si>
    <t>281139</t>
  </si>
  <si>
    <t>125</t>
  </si>
  <si>
    <t>1475</t>
  </si>
  <si>
    <t>126710</t>
  </si>
  <si>
    <t>279150</t>
  </si>
  <si>
    <t>903</t>
  </si>
  <si>
    <t>141721</t>
  </si>
  <si>
    <t>421060</t>
  </si>
  <si>
    <t>987</t>
  </si>
  <si>
    <t>140818</t>
  </si>
  <si>
    <t>418772</t>
  </si>
  <si>
    <t>439405</t>
  </si>
  <si>
    <t>1598434</t>
  </si>
  <si>
    <t>698</t>
  </si>
  <si>
    <t>210004</t>
  </si>
  <si>
    <t>706855</t>
  </si>
  <si>
    <t>958</t>
  </si>
  <si>
    <t>209306</t>
  </si>
  <si>
    <t>704570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</si>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</sst>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4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8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topLeftCell="A7" zoomScaleNormal="100" workbookViewId="0">
      <selection activeCell="S11" sqref="S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7" sqref="R7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2"/>
  <sheetViews>
    <sheetView tabSelected="1" zoomScaleNormal="100" workbookViewId="0">
      <pane ySplit="4" topLeftCell="A889" activePane="bottomLeft" state="frozen"/>
      <selection pane="bottomLeft" activeCell="G910" sqref="G910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/>
      <c r="I855" s="6">
        <f>IFERROR(O855/K855,)</f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>IFERROR(O856/K856,)</f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/>
      <c r="I857" s="6">
        <f>IFERROR(O857/K857,)</f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/>
      <c r="I858" s="6">
        <f>IFERROR(O858/K858,)</f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/>
      <c r="I859" s="6">
        <f>IFERROR(O859/K859,)</f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/>
      <c r="I860" s="6">
        <f>IFERROR(O860/K860,)</f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>IFERROR(O861/K861,)</f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/>
      <c r="I862" s="6">
        <f>IFERROR(O862/K862,)</f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/>
      <c r="I864" s="6">
        <f>IFERROR(O864/K864,)</f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>IFERROR(O865/K865,)</f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/>
      <c r="I866" s="6">
        <f>IFERROR(O866/K866,)</f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>IFERROR(O867/K867,)</f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/>
      <c r="I868" s="6">
        <f>IFERROR(O868/K868,)</f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>IFERROR(O869/K869,)</f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/>
      <c r="I870" s="6">
        <f>IFERROR(O870/K870,)</f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/>
      <c r="I871" s="6">
        <f>IFERROR(O871/K871,)</f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>IFERROR(O872/K872,)</f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/>
      <c r="I873" s="6">
        <f>IFERROR(O873/K873,)</f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/>
      <c r="I874" s="6">
        <f>IFERROR(O874/K874,)</f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3187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3188</v>
      </c>
      <c r="Y874" s="2" t="s">
        <v>3189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>IFERROR(O875/K875,)</f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/>
      <c r="I876" s="6">
        <f>IFERROR(O876/K876,)</f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3193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3194</v>
      </c>
      <c r="Y876" s="2" t="s">
        <v>3195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>IFERROR(O877/K877,)</f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/>
      <c r="I878" s="6">
        <f>IFERROR(O878/K878,)</f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3200</v>
      </c>
      <c r="Y878" s="2" t="s">
        <v>3201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/>
      <c r="I879" s="6">
        <f>IFERROR(O879/K879,)</f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3206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3207</v>
      </c>
      <c r="Y879" s="2" t="s">
        <v>3208</v>
      </c>
      <c r="Z879" s="2">
        <v>3.4</v>
      </c>
      <c r="AA879" s="2" t="s">
        <v>548</v>
      </c>
      <c r="AB879" s="2" t="s">
        <v>3205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/>
      <c r="I880" s="6">
        <f>IFERROR(O880/K880,)</f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3212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3213</v>
      </c>
      <c r="Y880" s="2" t="s">
        <v>3214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>IFERROR(O881/K881,)</f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3193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3215</v>
      </c>
      <c r="Y881" s="2" t="s">
        <v>3216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/>
      <c r="I882" s="6">
        <f>IFERROR(O882/K882,)</f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3220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3221</v>
      </c>
      <c r="Y882" s="2" t="s">
        <v>3222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/>
      <c r="I883" s="6">
        <f>IFERROR(O883/K883,)</f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3185</v>
      </c>
      <c r="Y883" s="2" t="s">
        <v>3186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>IFERROR(O884/K884,)</f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/>
      <c r="I885" s="6">
        <f>IFERROR(O885/K885,)</f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3190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3191</v>
      </c>
      <c r="Y885" s="2" t="s">
        <v>3192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>IFERROR(O886/K886,)</f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/>
      <c r="I887" s="6">
        <f>IFERROR(O887/K887,)</f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3196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3197</v>
      </c>
      <c r="X887" s="2" t="s">
        <v>3198</v>
      </c>
      <c r="Y887" s="2" t="s">
        <v>3199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/>
      <c r="I888" s="6">
        <f>IFERROR(O888/K888,)</f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3202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3203</v>
      </c>
      <c r="Y888" s="2" t="s">
        <v>3204</v>
      </c>
      <c r="Z888" s="2" t="s">
        <v>548</v>
      </c>
      <c r="AA888" s="2" t="s">
        <v>548</v>
      </c>
      <c r="AB888" s="2" t="s">
        <v>3205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/>
      <c r="I889" s="6">
        <f>IFERROR(O889/K889,)</f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3209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3210</v>
      </c>
      <c r="Y889" s="2" t="s">
        <v>3211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>IFERROR(O890/K890,)</f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3215</v>
      </c>
      <c r="Y890" s="2" t="s">
        <v>3216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/>
      <c r="I891" s="6">
        <f>IFERROR(O891/K891,)</f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3217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3218</v>
      </c>
      <c r="Y891" s="2" t="s">
        <v>3219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/>
      <c r="I892" s="6">
        <f>IFERROR(O892/K892,)</f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3223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3224</v>
      </c>
      <c r="Y892" s="2" t="s">
        <v>3225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>IFERROR(O893/K893,)</f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/>
      <c r="I894" s="6">
        <f>IFERROR(O894/K894,)</f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3226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3227</v>
      </c>
      <c r="Y894" s="2" t="s">
        <v>3228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/>
      <c r="I896" s="6">
        <f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3229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3230</v>
      </c>
      <c r="Y896" s="2" t="s">
        <v>3231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/>
      <c r="I897" s="6">
        <f>IFERROR(O897/K897,)</f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3232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3233</v>
      </c>
      <c r="Y897" s="2" t="s">
        <v>3234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/>
      <c r="I898" s="6">
        <f>IFERROR(O898/K898,)</f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3235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3236</v>
      </c>
      <c r="Y898" s="2" t="s">
        <v>3237</v>
      </c>
      <c r="Z898" s="2">
        <v>0.1</v>
      </c>
      <c r="AA898" s="2" t="s">
        <v>548</v>
      </c>
      <c r="AB898" s="2" t="s">
        <v>3238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>IFERROR(O899/K899,)</f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3239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3240</v>
      </c>
      <c r="Y899" s="2" t="s">
        <v>3241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/>
      <c r="I900" s="6">
        <f>IFERROR(O900/K900,)</f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3242</v>
      </c>
      <c r="Y900" s="2" t="s">
        <v>3243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/>
      <c r="I901" s="6">
        <f>IFERROR(O901/K901,)</f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3244</v>
      </c>
      <c r="Y901" s="2" t="s">
        <v>3245</v>
      </c>
      <c r="Z901" s="2">
        <v>0.1</v>
      </c>
      <c r="AA901" s="2" t="s">
        <v>548</v>
      </c>
      <c r="AB901" s="2" t="s">
        <v>3246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>IFERROR(O902/K902,)</f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>IFERROR(O903/K903,)</f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3247</v>
      </c>
      <c r="Y903" s="2" t="s">
        <v>3248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/>
      <c r="I904" s="6">
        <f>IFERROR(O904/K904,)</f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3249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3250</v>
      </c>
      <c r="Y904" s="2" t="s">
        <v>3251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/>
      <c r="I905" s="6">
        <f>IFERROR(O905/K905,)</f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3252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3253</v>
      </c>
      <c r="Y905" s="2" t="s">
        <v>3254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/>
      <c r="I906" s="6">
        <f>IFERROR(O906/K906,)</f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3255</v>
      </c>
      <c r="O906" s="85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3256</v>
      </c>
      <c r="Y906" s="2" t="s">
        <v>3257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>IFERROR(O907/K907,)</f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3258</v>
      </c>
      <c r="O907" s="85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3259</v>
      </c>
      <c r="W907" s="2">
        <v>6809.79</v>
      </c>
      <c r="X907" s="2" t="s">
        <v>3260</v>
      </c>
      <c r="Y907" s="2" t="s">
        <v>3261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/>
      <c r="I908" s="6">
        <f>IFERROR(O908/K908,)</f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3252</v>
      </c>
      <c r="O908" s="85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3262</v>
      </c>
      <c r="Y908" s="2" t="s">
        <v>3263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>IFERROR(O909/K909,)</f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>IFERROR(O910/K910,)</f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>IFERROR(O911/K911,)</f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>IFERROR(O912/K912,)</f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>IFERROR(O913/K913,)</f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>IFERROR(O914/K914,)</f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>IFERROR(O915/K915,)</f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>IFERROR(O916/K916,)</f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/>
      <c r="B917" s="8"/>
      <c r="C917" s="8"/>
      <c r="D917" s="8"/>
      <c r="E917" s="8"/>
      <c r="F917" s="13"/>
      <c r="G917" s="59"/>
      <c r="H917" s="6"/>
      <c r="I917" s="6"/>
      <c r="J917" s="2"/>
      <c r="K917" s="2"/>
      <c r="L917" s="2"/>
      <c r="M917" s="2"/>
      <c r="N917" s="2"/>
      <c r="O917" s="56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x14ac:dyDescent="0.25">
      <c r="A918" s="2"/>
      <c r="B918" s="8"/>
      <c r="C918" s="8"/>
      <c r="D918" s="8"/>
      <c r="E918" s="8"/>
      <c r="F918" s="13"/>
      <c r="G918" s="59"/>
      <c r="H918" s="6"/>
      <c r="I918" s="6"/>
      <c r="J918" s="2"/>
      <c r="K918" s="2"/>
      <c r="L918" s="2"/>
      <c r="M918" s="2"/>
      <c r="N918" s="2"/>
      <c r="O918" s="56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x14ac:dyDescent="0.25">
      <c r="A919" s="2"/>
      <c r="B919" s="8"/>
      <c r="C919" s="8"/>
      <c r="D919" s="8"/>
      <c r="E919" s="8"/>
      <c r="F919" s="13"/>
      <c r="G919" s="59"/>
      <c r="H919" s="6"/>
      <c r="I919" s="6"/>
      <c r="J919" s="2"/>
      <c r="K919" s="2"/>
      <c r="L919" s="2"/>
      <c r="M919" s="2"/>
      <c r="N919" s="2"/>
      <c r="O919" s="56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x14ac:dyDescent="0.25">
      <c r="A920" s="2"/>
      <c r="B920" s="8"/>
      <c r="C920" s="8"/>
      <c r="D920" s="8"/>
      <c r="E920" s="8"/>
      <c r="F920" s="13"/>
      <c r="G920" s="59"/>
      <c r="H920" s="6"/>
      <c r="I920" s="6"/>
      <c r="J920" s="2"/>
      <c r="K920" s="2"/>
      <c r="L920" s="2"/>
      <c r="M920" s="2"/>
      <c r="N920" s="2"/>
      <c r="O920" s="56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2"/>
      <c r="B921" s="8"/>
      <c r="C921" s="8"/>
      <c r="D921" s="8"/>
      <c r="E921" s="8"/>
      <c r="F921" s="13"/>
      <c r="G921" s="59"/>
      <c r="H921" s="6"/>
      <c r="I921" s="6"/>
      <c r="J921" s="2"/>
      <c r="K921" s="2"/>
      <c r="L921" s="2"/>
      <c r="M921" s="2"/>
      <c r="N921" s="2"/>
      <c r="O921" s="56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x14ac:dyDescent="0.25">
      <c r="A922" s="2"/>
      <c r="B922" s="8"/>
      <c r="C922" s="8"/>
      <c r="D922" s="8"/>
      <c r="E922" s="8"/>
      <c r="F922" s="13"/>
      <c r="G922" s="59"/>
      <c r="H922" s="6"/>
      <c r="I922" s="6"/>
      <c r="J922" s="2"/>
      <c r="K922" s="2"/>
      <c r="L922" s="2"/>
      <c r="M922" s="2"/>
      <c r="N922" s="2"/>
      <c r="O922" s="56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x14ac:dyDescent="0.25">
      <c r="A923" s="2"/>
      <c r="B923" s="8"/>
      <c r="C923" s="8"/>
      <c r="D923" s="8"/>
      <c r="E923" s="8"/>
      <c r="F923" s="13"/>
      <c r="G923" s="59"/>
      <c r="H923" s="6"/>
      <c r="I923" s="6"/>
      <c r="J923" s="2"/>
      <c r="K923" s="2"/>
      <c r="L923" s="2"/>
      <c r="M923" s="2"/>
      <c r="N923" s="2"/>
      <c r="O923" s="56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x14ac:dyDescent="0.25">
      <c r="A924" s="2"/>
      <c r="B924" s="8"/>
      <c r="C924" s="8"/>
      <c r="D924" s="8"/>
      <c r="E924" s="8"/>
      <c r="F924" s="13"/>
      <c r="G924" s="59"/>
      <c r="H924" s="6"/>
      <c r="I924" s="6"/>
      <c r="J924" s="2"/>
      <c r="K924" s="2"/>
      <c r="L924" s="2"/>
      <c r="M924" s="2"/>
      <c r="N924" s="2"/>
      <c r="O924" s="56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3134</v>
      </c>
      <c r="R1" t="s">
        <v>3135</v>
      </c>
      <c r="S1" t="s">
        <v>3136</v>
      </c>
      <c r="T1" t="s">
        <v>3137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3134</v>
      </c>
      <c r="B3" s="15" t="s">
        <v>3136</v>
      </c>
      <c r="C3" s="15" t="s">
        <v>3135</v>
      </c>
      <c r="D3" t="s">
        <v>3138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>
        <v>5</v>
      </c>
      <c r="Q6" s="18" t="s">
        <v>3139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>
        <v>6</v>
      </c>
    </row>
    <row r="8" spans="1:20" x14ac:dyDescent="0.2">
      <c r="A8" s="12">
        <v>46247</v>
      </c>
      <c r="B8" s="15">
        <v>15000</v>
      </c>
      <c r="C8" s="15">
        <v>12708</v>
      </c>
      <c r="D8">
        <v>6</v>
      </c>
    </row>
    <row r="9" spans="1:20" x14ac:dyDescent="0.2">
      <c r="A9" s="12">
        <v>46246</v>
      </c>
      <c r="B9" s="15">
        <v>15000</v>
      </c>
      <c r="C9" s="15">
        <v>12153</v>
      </c>
      <c r="D9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>
        <v>7</v>
      </c>
    </row>
    <row r="12" spans="1:20" hidden="1" x14ac:dyDescent="0.2">
      <c r="A12" s="10" t="s">
        <v>3139</v>
      </c>
      <c r="B12" s="15">
        <v>90000.000000000015</v>
      </c>
      <c r="C12" s="15">
        <v>61676</v>
      </c>
      <c r="D12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3134</v>
      </c>
      <c r="B3" t="s">
        <v>3136</v>
      </c>
      <c r="C3" t="s">
        <v>3140</v>
      </c>
      <c r="O3" s="9" t="s">
        <v>3134</v>
      </c>
      <c r="P3" t="s">
        <v>3136</v>
      </c>
      <c r="Q3" t="s">
        <v>3140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3141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3139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3139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3142</v>
      </c>
      <c r="G3" s="17" t="s">
        <v>3143</v>
      </c>
      <c r="H3" s="17" t="s">
        <v>3144</v>
      </c>
      <c r="I3" s="17" t="s">
        <v>3145</v>
      </c>
      <c r="J3" s="17" t="s">
        <v>3146</v>
      </c>
      <c r="K3" s="17" t="s">
        <v>3147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3148</v>
      </c>
    </row>
    <row r="5" spans="6:11" x14ac:dyDescent="0.2">
      <c r="F5" s="17">
        <v>116</v>
      </c>
      <c r="H5" s="17">
        <v>110</v>
      </c>
      <c r="J5" s="17" t="s">
        <v>3149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3150</v>
      </c>
    </row>
    <row r="3" spans="1:17" x14ac:dyDescent="0.2">
      <c r="A3" s="25" t="s">
        <v>7</v>
      </c>
      <c r="B3" s="25" t="s">
        <v>3151</v>
      </c>
      <c r="C3" s="25" t="s">
        <v>3152</v>
      </c>
      <c r="D3" s="25" t="s">
        <v>3153</v>
      </c>
      <c r="E3" s="25" t="s">
        <v>3154</v>
      </c>
      <c r="F3" s="25" t="s">
        <v>3155</v>
      </c>
      <c r="H3" s="22" t="s">
        <v>3155</v>
      </c>
      <c r="I3" s="22" t="s">
        <v>3151</v>
      </c>
      <c r="J3" s="22" t="s">
        <v>3152</v>
      </c>
      <c r="K3" s="22" t="s">
        <v>3154</v>
      </c>
      <c r="L3" s="22" t="s">
        <v>3156</v>
      </c>
      <c r="M3" s="25" t="s">
        <v>3157</v>
      </c>
      <c r="O3" s="25" t="s">
        <v>7</v>
      </c>
      <c r="P3" s="25" t="s">
        <v>3154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3158</v>
      </c>
      <c r="H4" s="28" t="s">
        <v>3158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3158</v>
      </c>
      <c r="H5" s="28" t="s">
        <v>3159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3158</v>
      </c>
      <c r="H6" s="28" t="s">
        <v>3160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3158</v>
      </c>
      <c r="H7" s="28" t="s">
        <v>3161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3158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3158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3158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3158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3158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3158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3159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3159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3159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3159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3159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3159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3159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3160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3160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3160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3160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3160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3160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3160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3160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3160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3160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3160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3160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3160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3161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3161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3161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3161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3161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3161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3161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3161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3161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3161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3161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3161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3161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3161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3161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3161</v>
      </c>
    </row>
    <row r="50" spans="1:6" x14ac:dyDescent="0.2">
      <c r="A50" s="84" t="s">
        <v>3162</v>
      </c>
      <c r="B50" s="84"/>
      <c r="C50" s="84"/>
      <c r="E50" s="23">
        <f>SUM(E4:E49)</f>
        <v>12900</v>
      </c>
    </row>
    <row r="56" spans="1:6" ht="15.75" x14ac:dyDescent="0.25">
      <c r="A56" s="34" t="s">
        <v>3163</v>
      </c>
    </row>
    <row r="57" spans="1:6" ht="25.5" x14ac:dyDescent="0.2">
      <c r="A57" s="35" t="s">
        <v>3164</v>
      </c>
      <c r="B57" s="36" t="s">
        <v>3165</v>
      </c>
      <c r="C57" s="36" t="s">
        <v>3166</v>
      </c>
      <c r="D57" s="36" t="s">
        <v>3167</v>
      </c>
    </row>
    <row r="58" spans="1:6" x14ac:dyDescent="0.2">
      <c r="A58" s="40" t="s">
        <v>3168</v>
      </c>
      <c r="B58" s="37">
        <v>108384.01</v>
      </c>
      <c r="C58" s="37"/>
      <c r="D58" s="37">
        <v>108384.01</v>
      </c>
    </row>
    <row r="59" spans="1:6" x14ac:dyDescent="0.2">
      <c r="A59" s="40" t="s">
        <v>3169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3170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3171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3172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3173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3174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3175</v>
      </c>
      <c r="B65" s="37">
        <v>23860.793000000001</v>
      </c>
      <c r="C65" s="37"/>
      <c r="D65" s="37"/>
    </row>
    <row r="66" spans="1:4" x14ac:dyDescent="0.2">
      <c r="A66" s="40" t="s">
        <v>3176</v>
      </c>
      <c r="B66" s="37">
        <v>1344.431</v>
      </c>
      <c r="C66" s="37"/>
      <c r="D66" s="37"/>
    </row>
    <row r="67" spans="1:4" x14ac:dyDescent="0.2">
      <c r="A67" s="38" t="s">
        <v>3162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3177</v>
      </c>
      <c r="E2" s="48" t="s">
        <v>3178</v>
      </c>
      <c r="F2" s="48" t="s">
        <v>3179</v>
      </c>
      <c r="G2" s="48" t="s">
        <v>3180</v>
      </c>
      <c r="H2" s="48" t="s">
        <v>3181</v>
      </c>
      <c r="I2" s="48" t="s">
        <v>3182</v>
      </c>
      <c r="J2" s="48" t="s">
        <v>3183</v>
      </c>
      <c r="K2" s="48" t="s">
        <v>3184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2026-08-24T12:29:25Z</dcterms:modified>
  <cp:category/>
  <cp:contentStatus/>
</cp:coreProperties>
</file>