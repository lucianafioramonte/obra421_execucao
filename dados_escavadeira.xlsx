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979" documentId="8_{CE5C6F22-4BE2-41D0-BCDC-905D26C0C4E3}" xr6:coauthVersionLast="47" xr6:coauthVersionMax="47" xr10:uidLastSave="{D613E659-DEC8-4453-8CF8-1B543A4275E5}"/>
  <bookViews>
    <workbookView xWindow="-120" yWindow="-120" windowWidth="20730" windowHeight="11040" tabRatio="678" activeTab="1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49" r:id="rId9"/>
    <pivotCache cacheId="54" r:id="rId10"/>
    <pivotCache cacheId="60" r:id="rId11"/>
    <pivotCache cacheId="66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29" i="1" l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14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<sst xmlns="http://schemas.openxmlformats.org/spreadsheetml/2006/main" count="10828" uniqueCount="3145">
  <si>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</si>
  <si>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</si>
  <si>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</si>
  <si>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</si>
  <si>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</si>
  <si>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</si>
  <si>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</si>
  <si>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</si>
  <si>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</si>
  <si>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</si>
  <si>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</si>
  <si>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</si>
  <si>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</si>
  <si>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</si>
  <si>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</si>
  <si>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</si>
  <si>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</si>
  <si>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</si>
  <si>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</si>
  <si>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</si>
  <si>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</si>
  <si>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</si>
  <si>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</si>
  <si>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</si>
  <si>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</si>
  <si>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</si>
  <si>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</si>
  <si>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</si>
  <si>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</si>
  <si>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</si>
  <si>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</si>
  <si>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</si>
  <si>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</si>
  <si>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</si>
  <si>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</si>
  <si>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</si>
  <si>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</si>
  <si>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</si>
  <si>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</si>
  <si>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</si>
  <si>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</si>
  <si>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</si>
  <si>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</si>
  <si>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</si>
  <si>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</si>
  <si>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</si>
  <si>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</si>
  <si>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</si>
  <si>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</si>
  <si>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</si>
  <si>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</si>
  <si>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</si>
  <si>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</si>
  <si>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</si>
  <si>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</si>
  <si>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</si>
  <si>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</si>
  <si>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</si>
  <si>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</si>
  <si>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</si>
  <si>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</si>
  <si>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</si>
  <si>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</si>
  <si>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</si>
  <si>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</si>
  <si>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</si>
  <si>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</si>
  <si>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</si>
  <si>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</si>
  <si>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</si>
  <si>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</si>
  <si>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</si>
  <si>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</si>
  <si>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</si>
  <si>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</si>
  <si>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</si>
  <si>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</si>
  <si>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</si>
  <si>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</si>
  <si>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</si>
  <si>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</si>
  <si>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</si>
  <si>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</si>
  <si>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</si>
  <si>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</si>
  <si>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</si>
  <si>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</si>
  <si>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</si>
  <si>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</si>
  <si>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</si>
  <si>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</si>
  <si>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</si>
  <si>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</si>
  <si>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</si>
  <si>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</si>
  <si>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</si>
  <si>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</si>
  <si>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</si>
  <si>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</si>
  <si>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</si>
  <si>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</si>
  <si>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</si>
  <si>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</si>
  <si>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</si>
  <si>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</si>
  <si>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</si>
  <si>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</si>
  <si>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</si>
  <si>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</si>
  <si>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</si>
  <si>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</si>
  <si>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</si>
  <si>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</si>
  <si>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</si>
  <si>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</si>
  <si>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</si>
  <si>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</si>
  <si>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</si>
  <si>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</si>
  <si>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</si>
  <si>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</si>
  <si>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</si>
  <si>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</si>
  <si>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</si>
  <si>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</si>
  <si>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</si>
  <si>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</si>
  <si>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</si>
  <si>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</si>
  <si>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</si>
  <si>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</si>
  <si>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</si>
  <si>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</si>
  <si>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</si>
  <si>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</si>
  <si>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</si>
  <si>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</si>
  <si>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</si>
  <si>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</si>
  <si>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</si>
  <si>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</si>
  <si>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</si>
  <si>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</si>
  <si>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</si>
  <si>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</si>
  <si>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</si>
  <si>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</si>
  <si>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</si>
  <si>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</si>
  <si>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</si>
  <si>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</si>
  <si>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</si>
  <si>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</si>
  <si>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</si>
  <si>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</si>
  <si>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</si>
  <si>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</si>
  <si>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</si>
  <si>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</si>
  <si>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</si>
  <si>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</si>
  <si>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</si>
  <si>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</si>
  <si>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</si>
  <si>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</si>
  <si>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</si>
  <si>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</si>
  <si>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</si>
  <si>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</si>
  <si>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</si>
  <si>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</si>
  <si>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</si>
  <si>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</si>
  <si>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</si>
  <si>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</si>
  <si>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</si>
  <si>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</si>
  <si>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</si>
  <si>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</si>
  <si>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</si>
  <si>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</si>
  <si>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</si>
  <si>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</si>
  <si>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</si>
  <si>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</si>
  <si>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</si>
  <si>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</si>
  <si>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</si>
  <si>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</si>
  <si>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</si>
  <si>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</si>
  <si>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</si>
  <si>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</si>
  <si>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</si>
  <si>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</si>
  <si>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</si>
  <si>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</si>
  <si>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</si>
  <si>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</si>
  <si>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</si>
  <si>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</si>
  <si>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</si>
  <si>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</si>
  <si>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</si>
  <si>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</si>
  <si>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</si>
  <si>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</si>
  <si>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</si>
  <si>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</si>
  <si>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</si>
  <si>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</si>
  <si>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</si>
  <si>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</si>
  <si>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</si>
  <si>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</si>
  <si>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</si>
  <si>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</si>
  <si>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</si>
  <si>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</si>
  <si>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</si>
  <si>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</si>
  <si>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</si>
  <si>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</si>
  <si>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</si>
  <si>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</si>
  <si>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</si>
  <si>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</si>
  <si>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</si>
  <si>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</si>
  <si>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</si>
  <si>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</si>
  <si>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</si>
  <si>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</si>
  <si>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</si>
  <si>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</si>
  <si>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</si>
  <si>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</si>
  <si>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</si>
  <si>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</si>
  <si>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</si>
  <si>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</si>
  <si>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</si>
  <si>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</si>
  <si>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</si>
  <si>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</si>
  <si>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</si>
  <si>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</si>
  <si>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</si>
  <si>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</si>
  <si>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</si>
  <si>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</si>
  <si>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</si>
  <si>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</si>
  <si>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</si>
  <si>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</si>
  <si>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</si>
  <si>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</si>
  <si>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</si>
  <si>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</si>
  <si>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</si>
  <si>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</si>
  <si>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</si>
  <si>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</si>
  <si>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</si>
  <si>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</si>
  <si>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</si>
  <si>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</si>
  <si>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</si>
  <si>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</si>
  <si>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</si>
  <si>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</si>
  <si>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</si>
  <si>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</si>
  <si>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</si>
  <si>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</si>
  <si>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</si>
  <si>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</si>
  <si>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</si>
  <si>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</si>
  <si>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</si>
  <si>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</si>
  <si>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</si>
  <si>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</si>
  <si>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</si>
  <si>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</si>
  <si>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</si>
  <si>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</si>
  <si>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</si>
  <si>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</si>
  <si>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</si>
  <si>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</si>
  <si>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</si>
  <si>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</si>
  <si>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</si>
  <si>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</si>
  <si>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</si>
  <si>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</si>
  <si>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</si>
  <si>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</si>
  <si>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</si>
  <si>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</si>
  <si>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</si>
  <si>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</si>
  <si>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</si>
  <si>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</si>
  <si>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</si>
  <si>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</si>
  <si>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</si>
  <si>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</si>
  <si>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</si>
  <si>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</si>
  <si>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</si>
  <si>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</si>
  <si>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</si>
  <si>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</si>
  <si>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</si>
  <si>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</si>
  <si>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</si>
  <si>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</si>
  <si>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</si>
  <si>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</si>
  <si>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</si>
  <si>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</si>
  <si>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</si>
  <si>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</si>
  <si>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</si>
  <si>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</si>
  <si>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</si>
  <si>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</si>
  <si>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</si>
  <si>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</si>
  <si>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</si>
  <si>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</si>
  <si>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</si>
  <si>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</si>
  <si>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</si>
  <si>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</si>
  <si>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</si>
  <si>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</si>
  <si>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</si>
  <si>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</si>
  <si>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</si>
  <si>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</si>
  <si>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</si>
  <si>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</si>
  <si>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</si>
  <si>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</si>
  <si>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</si>
  <si>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</si>
  <si>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</si>
  <si>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</si>
  <si>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</si>
  <si>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</si>
  <si>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</si>
  <si>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</si>
  <si>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</si>
  <si>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</si>
  <si>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</si>
  <si>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</si>
  <si>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</si>
  <si>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</si>
  <si>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</si>
  <si>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</si>
  <si>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</si>
  <si>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</si>
  <si>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</si>
  <si>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</si>
  <si>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</si>
  <si>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</si>
  <si>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</si>
  <si>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</si>
  <si>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</si>
  <si>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</si>
  <si>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</si>
  <si>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</si>
  <si>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</si>
  <si>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</si>
  <si>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</si>
  <si>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</si>
  <si>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</si>
  <si>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</si>
  <si>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</si>
  <si>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</si>
  <si>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</si>
  <si>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</si>
  <si>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</si>
  <si>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</si>
  <si>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</si>
  <si>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</si>
  <si>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</si>
  <si>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</si>
  <si>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</si>
  <si>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</si>
  <si>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</si>
  <si>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</si>
  <si>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</si>
  <si>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</si>
  <si>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</si>
  <si>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</si>
  <si>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</si>
  <si>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</si>
  <si>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</si>
  <si>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</si>
  <si>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</si>
  <si>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</si>
  <si>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</si>
  <si>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</si>
  <si>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</si>
  <si>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</si>
  <si>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</si>
  <si>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</si>
  <si>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</si>
  <si>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</si>
  <si>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</si>
  <si>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</si>
  <si>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</si>
  <si>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</si>
  <si>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</si>
  <si>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</si>
  <si>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</si>
  <si>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</si>
  <si>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</si>
  <si>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</si>
  <si>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</si>
  <si>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</si>
  <si>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</si>
  <si>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</si>
  <si>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</si>
  <si>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</si>
  <si>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</si>
  <si>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</si>
  <si>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</si>
  <si>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</si>
  <si>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</si>
  <si>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</si>
  <si>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</si>
  <si>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</si>
  <si>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</si>
  <si>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</si>
  <si>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</si>
  <si>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</si>
  <si>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</si>
  <si>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</si>
  <si>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</si>
  <si>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</si>
  <si>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</si>
  <si>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</si>
  <si>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</si>
  <si>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</si>
  <si>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</si>
  <si>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</si>
  <si>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</si>
  <si>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</si>
  <si>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</si>
  <si>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</si>
  <si>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</si>
  <si>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</si>
  <si>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</si>
  <si>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</si>
  <si>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</si>
  <si>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</si>
  <si>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</si>
  <si>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</si>
  <si>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</si>
  <si>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</si>
  <si>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</si>
  <si>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</si>
  <si>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</si>
  <si>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</si>
  <si>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</si>
  <si>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</si>
  <si>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</si>
  <si>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</si>
  <si>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</si>
  <si>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</si>
  <si>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</si>
  <si>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</si>
  <si>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</si>
  <si>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</si>
  <si>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</si>
  <si>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</si>
  <si>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</si>
  <si>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</si>
  <si>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</si>
  <si>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</si>
  <si>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</si>
  <si>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</si>
  <si>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</si>
  <si>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</si>
  <si>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</si>
  <si>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</si>
  <si>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</si>
  <si>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</si>
  <si>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</si>
  <si>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</si>
  <si>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</si>
  <si>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</si>
  <si>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</si>
  <si>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</si>
  <si>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</si>
  <si>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</si>
  <si>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</si>
  <si>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</si>
  <si>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</si>
  <si>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</si>
  <si>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</si>
  <si>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</si>
  <si>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</si>
  <si>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</si>
  <si>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</si>
  <si>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</si>
  <si>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</si>
  <si>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</si>
  <si>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</si>
  <si>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</si>
  <si>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</si>
  <si>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</si>
  <si>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</si>
  <si>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</si>
  <si>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</si>
  <si>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</si>
  <si>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</si>
  <si>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</si>
  <si>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</si>
  <si>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</si>
  <si>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</si>
  <si>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</si>
  <si>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</si>
  <si>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</si>
  <si>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</si>
  <si>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</si>
  <si>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</si>
  <si>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</si>
  <si>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</si>
  <si>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</si>
  <si>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</si>
  <si>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</si>
  <si>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</si>
  <si>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</si>
  <si>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</si>
  <si>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</si>
  <si>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</si>
  <si>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</si>
  <si>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</si>
  <si>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</si>
  <si>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</si>
  <si>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</si>
  <si>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</si>
  <si>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</si>
  <si>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</si>
  <si>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</si>
  <si>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</si>
  <si>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</si>
  <si>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</si>
  <si>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</si>
  <si>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</si>
  <si>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</si>
  <si>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</si>
  <si>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</si>
  <si>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</si>
  <si>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</si>
  <si>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</si>
  <si>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</si>
  <si>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</si>
  <si>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</si>
  <si>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</si>
  <si>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</si>
  <si>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</si>
  <si>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</si>
  <si>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</si>
  <si>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</si>
  <si>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</si>
  <si>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</si>
  <si>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</si>
  <si>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</si>
  <si>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</si>
  <si>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</si>
  <si>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</si>
  <si>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</si>
  <si>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</si>
  <si>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</si>
  <si>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</si>
  <si>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</si>
  <si>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</si>
  <si>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</si>
  <si>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</si>
  <si>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</si>
  <si>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</si>
  <si>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</si>
  <si>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</si>
  <si>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</si>
  <si>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</si>
  <si>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</si>
  <si>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</si>
  <si>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</si>
  <si>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</si>
  <si>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</si>
  <si>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</si>
  <si>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</si>
  <si>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</si>
  <si>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</si>
  <si>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</si>
  <si>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</si>
  <si>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</si>
  <si>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</si>
  <si>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</si>
  <si>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</si>
  <si>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</si>
  <si>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</si>
  <si>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</si>
  <si>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</si>
  <si>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</si>
  <si>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</si>
  <si>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</si>
  <si>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</si>
  <si>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</si>
  <si>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</si>
  <si>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</si>
  <si>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</si>
  <si>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</si>
  <si>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</si>
  <si>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</si>
  <si>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</si>
  <si>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</si>
  <si>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</si>
  <si>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</si>
  <si>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</si>
  <si>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</si>
  <si>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</si>
  <si>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</si>
  <si>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</si>
  <si>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</si>
  <si>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</si>
  <si>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</si>
  <si>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</si>
  <si>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</si>
  <si>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</si>
  <si>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</si>
  <si>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</si>
  <si>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</si>
  <si>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</si>
  <si>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</si>
  <si>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</si>
  <si>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</si>
  <si>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</si>
  <si>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</si>
  <si>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</si>
  <si>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</si>
  <si>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</si>
  <si>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</si>
  <si>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</si>
  <si>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</si>
  <si>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</si>
  <si>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</si>
  <si>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</si>
  <si>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</si>
  <si>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</si>
  <si>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</si>
  <si>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</si>
  <si>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</si>
  <si>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</si>
  <si>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</si>
  <si>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</si>
  <si>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</si>
  <si>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</si>
  <si>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</si>
  <si>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</si>
  <si>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</si>
  <si>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</si>
  <si>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</si>
  <si>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</si>
  <si>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</si>
  <si>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</si>
  <si>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</si>
  <si>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</si>
  <si>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</si>
  <si>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</si>
  <si>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</si>
  <si>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</si>
  <si>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</si>
  <si>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</si>
  <si>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</si>
  <si>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</si>
  <si>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</si>
  <si>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</si>
  <si>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</si>
  <si>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</si>
  <si>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</si>
  <si>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</si>
  <si>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</si>
  <si>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</si>
  <si>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</si>
  <si>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</si>
  <si>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</si>
  <si>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</si>
  <si>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</si>
  <si>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</si>
  <si>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</si>
  <si>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</si>
  <si>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</si>
  <si>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</si>
  <si>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</si>
  <si>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</si>
  <si>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</si>
  <si>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</si>
  <si>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</si>
  <si>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</si>
  <si>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</si>
  <si>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</si>
  <si>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</si>
  <si>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</si>
  <si>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</si>
  <si>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</si>
  <si>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</si>
  <si>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</si>
  <si>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</si>
  <si>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</si>
  <si>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</si>
  <si>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</si>
  <si>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</si>
  <si>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</si>
  <si>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</si>
  <si>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</si>
  <si>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</si>
  <si>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</si>
  <si>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</si>
  <si>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</si>
  <si>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</si>
  <si>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</si>
  <si>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</si>
  <si>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</si>
  <si>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</si>
  <si>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</si>
  <si>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</si>
  <si>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</si>
  <si>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</si>
  <si>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</si>
  <si>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</si>
  <si>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</si>
  <si>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</si>
  <si>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</si>
  <si>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</si>
  <si>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</si>
  <si>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</si>
  <si>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</si>
  <si>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</si>
  <si>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</si>
  <si>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</si>
  <si>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</si>
  <si>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</si>
  <si>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</si>
  <si>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</si>
  <si>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</si>
  <si>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</si>
  <si>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</si>
  <si>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</si>
  <si>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</si>
  <si>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</si>
  <si>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</si>
  <si>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</si>
  <si>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</si>
  <si>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</si>
  <si>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</si>
  <si>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</si>
  <si>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</si>
  <si>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</si>
  <si>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</si>
  <si>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</si>
  <si>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</si>
  <si>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</si>
  <si>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</si>
  <si>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</si>
  <si>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</si>
  <si>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</si>
  <si>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</si>
  <si>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</si>
  <si>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</si>
  <si>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</si>
  <si>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</si>
  <si>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</si>
  <si>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</si>
  <si>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</si>
  <si>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</si>
  <si>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</si>
  <si>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</si>
  <si>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</si>
  <si>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</si>
  <si>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</si>
  <si>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</si>
  <si>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</si>
  <si>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</si>
  <si>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</si>
  <si>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</si>
  <si>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</si>
  <si>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</si>
  <si>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</si>
  <si>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</si>
  <si>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</si>
  <si>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</si>
  <si>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</si>
  <si>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</si>
  <si>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</si>
  <si>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</si>
  <si>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</si>
  <si>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</si>
  <si>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</si>
  <si>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</si>
  <si>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</si>
  <si>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</si>
  <si>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</si>
  <si>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</si>
  <si>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</si>
  <si>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</si>
  <si>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</si>
  <si>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</si>
  <si>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</si>
  <si>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</si>
  <si>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</si>
  <si>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</si>
  <si>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</si>
  <si>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</si>
  <si>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</si>
  <si>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</si>
  <si>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</si>
  <si>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</si>
  <si>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</si>
  <si>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</si>
  <si>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</si>
  <si>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</si>
  <si>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</si>
  <si>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</si>
  <si>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</si>
  <si>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</si>
  <si>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</si>
  <si>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</si>
  <si>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</si>
  <si>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</si>
  <si>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</si>
  <si>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</si>
  <si>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</si>
  <si>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</si>
  <si>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</si>
  <si>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</si>
  <si>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</si>
  <si>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</si>
  <si>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</si>
  <si>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</si>
  <si>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</si>
  <si>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</si>
  <si>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</si>
  <si>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</si>
  <si>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</si>
  <si>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</si>
  <si>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</si>
  <si>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</si>
  <si>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</si>
  <si>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</si>
  <si>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</si>
  <si>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</si>
  <si>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</si>
  <si>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</si>
  <si>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</si>
  <si>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</si>
  <si>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</si>
  <si>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</si>
  <si>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</si>
  <si>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</si>
  <si>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</si>
  <si>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</si>
  <si>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</si>
  <si>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</si>
  <si>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</si>
  <si>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</si>
  <si>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</si>
  <si>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</si>
  <si>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</si>
  <si>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</si>
  <si>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</si>
  <si>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</si>
  <si>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</si>
  <si>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</si>
  <si>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</si>
  <si>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</si>
  <si>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</si>
  <si>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</si>
  <si>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</si>
  <si>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</si>
  <si>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</si>
  <si>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</si>
  <si>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</si>
  <si>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</si>
  <si>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</si>
  <si>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</si>
  <si>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</si>
  <si>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</si>
  <si>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</si>
  <si>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</si>
  <si>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</si>
  <si>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</si>
  <si>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</si>
  <si>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</si>
  <si>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</si>
  <si>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</si>
  <si>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</si>
  <si>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</si>
  <si>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</si>
  <si>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</si>
  <si>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</si>
  <si>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</si>
  <si>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</si>
  <si>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</si>
  <si>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</si>
  <si>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</si>
  <si>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</si>
  <si>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</si>
  <si>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</si>
  <si>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</si>
  <si>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</si>
  <si>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</si>
  <si>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</si>
  <si>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</si>
  <si>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</si>
  <si>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</si>
  <si>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</si>
  <si>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</si>
  <si>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</si>
  <si>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</si>
  <si>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</si>
  <si>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</si>
  <si>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</si>
  <si>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</si>
  <si>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</si>
  <si>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</si>
  <si>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</si>
  <si>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</si>
  <si>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</si>
  <si>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</si>
  <si>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</si>
  <si>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</si>
  <si>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</si>
  <si>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</si>
  <si>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</si>
  <si>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</si>
  <si>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</si>
  <si>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</si>
  <si>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</si>
  <si>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</si>
  <si>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</si>
  <si>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</si>
  <si>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</si>
  <si>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</si>
  <si>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</si>
  <si>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</si>
  <si>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</si>
  <si>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</si>
  <si>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</si>
  <si>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</si>
  <si>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</si>
  <si>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</si>
  <si>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</si>
  <si>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</si>
  <si>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</si>
  <si>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</si>
  <si>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</si>
  <si>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</si>
  <si>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</si>
  <si>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</si>
  <si>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</si>
  <si>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</si>
  <si>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</si>
  <si>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</si>
  <si>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</si>
  <si>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</si>
  <si>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</si>
  <si>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</si>
  <si>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</si>
  <si>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</si>
  <si>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</si>
  <si>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</si>
  <si>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</si>
  <si>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</si>
  <si>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</si>
  <si>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</si>
  <si>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</si>
  <si>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</si>
  <si>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</si>
  <si>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</si>
  <si>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</si>
  <si>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</si>
  <si>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</si>
  <si>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</si>
  <si>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</si>
  <si>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</si>
  <si>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</si>
  <si>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</si>
  <si>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</si>
  <si>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</si>
  <si>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</si>
  <si>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</si>
  <si>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</si>
  <si>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</si>
  <si>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</si>
  <si>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</si>
  <si>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</si>
  <si>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</si>
  <si>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</si>
  <si>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</si>
  <si>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</si>
  <si>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</si>
  <si>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</si>
  <si>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</si>
  <si>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</si>
  <si>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</si>
  <si>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</si>
  <si>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</si>
  <si>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</si>
  <si>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</si>
  <si>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</si>
  <si>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</si>
  <si>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</si>
  <si>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</si>
  <si>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</si>
  <si>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</si>
  <si>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</si>
  <si>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</si>
  <si>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</si>
  <si>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</si>
  <si>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</si>
  <si>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</si>
  <si>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</si>
  <si>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</si>
  <si>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</si>
  <si>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</si>
  <si>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</si>
  <si>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</si>
  <si>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</si>
  <si>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</si>
  <si>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</si>
  <si>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</si>
  <si>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</si>
  <si>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</si>
  <si>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</si>
  <si>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</si>
  <si>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</si>
  <si>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</si>
  <si>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</si>
  <si>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</si>
  <si>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</si>
  <si>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</si>
  <si>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</si>
  <si>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</si>
  <si>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</si>
  <si>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</si>
  <si>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</si>
  <si>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</si>
  <si>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</si>
  <si>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</si>
  <si>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</si>
  <si>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</si>
  <si>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</si>
  <si>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</si>
  <si>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</si>
  <si>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</si>
  <si>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</si>
  <si>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</si>
  <si>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</si>
  <si>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</si>
  <si>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</si>
  <si>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</si>
  <si>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</si>
  <si>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</si>
  <si>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</si>
  <si>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</si>
  <si>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</si>
  <si>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</si>
  <si>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</si>
  <si>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</si>
  <si>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</si>
  <si>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</si>
  <si>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</si>
  <si>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</si>
  <si>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</si>
  <si>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</si>
  <si>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</si>
  <si>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</si>
  <si>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</si>
  <si>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</si>
  <si>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</si>
  <si>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</si>
  <si>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</si>
  <si>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</si>
  <si>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</si>
  <si>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</si>
  <si>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</si>
  <si>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</si>
  <si>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</si>
  <si>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</si>
  <si>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</si>
  <si>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</si>
  <si>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</si>
  <si>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</si>
  <si>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</si>
  <si>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</si>
  <si>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</si>
  <si>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</si>
  <si>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</si>
  <si>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</si>
  <si>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</si>
  <si>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</si>
  <si>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</si>
  <si>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</si>
  <si>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</si>
  <si>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</si>
  <si>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</si>
  <si>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</si>
  <si>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</si>
  <si>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</si>
  <si>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</si>
  <si>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</si>
  <si>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</si>
  <si>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</si>
  <si>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</si>
  <si>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</si>
  <si>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</si>
  <si>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</si>
  <si>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</si>
  <si>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</si>
  <si>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</si>
  <si>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</si>
  <si>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</si>
  <si>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</si>
  <si>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</si>
  <si>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</si>
  <si>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</si>
  <si>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</si>
  <si>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</si>
  <si>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</si>
  <si>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</si>
  <si>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</si>
  <si>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</si>
  <si>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</si>
  <si>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</si>
  <si>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</si>
  <si>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</si>
  <si>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</si>
  <si>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</si>
  <si>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</si>
  <si>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</si>
  <si>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</si>
  <si>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</si>
  <si>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</si>
  <si>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</si>
  <si>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</si>
  <si>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</si>
  <si>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</si>
  <si>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</si>
  <si>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</si>
  <si>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</si>
  <si>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</si>
  <si>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</si>
  <si>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</si>
  <si>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</si>
  <si>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</si>
  <si>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</si>
  <si>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</si>
  <si>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</si>
  <si>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</si>
  <si>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</si>
  <si>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</si>
  <si>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</si>
  <si>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</si>
  <si>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</si>
  <si>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</si>
  <si>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</si>
  <si>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</si>
  <si>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</si>
  <si>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</si>
  <si>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</si>
  <si>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</si>
  <si>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</si>
  <si>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</si>
  <si>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</si>
  <si>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</si>
  <si>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</si>
  <si>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</si>
  <si>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</si>
  <si>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</si>
  <si>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</si>
  <si>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</si>
  <si>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</si>
  <si>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</si>
  <si>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</si>
  <si>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</si>
  <si>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</si>
  <si>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</si>
  <si>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</si>
  <si>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</si>
  <si>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</si>
  <si>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</si>
  <si>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</si>
  <si>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</si>
  <si>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</si>
  <si>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</si>
  <si>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</si>
  <si>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</si>
  <si>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</si>
  <si>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</si>
  <si>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</si>
  <si>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</si>
  <si>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</si>
  <si>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</si>
  <si>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</si>
  <si>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</si>
  <si>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</si>
  <si>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</si>
  <si>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</si>
  <si>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</si>
  <si>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</si>
  <si>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</si>
  <si>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</si>
  <si>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</si>
  <si>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</si>
  <si>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</si>
  <si>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</si>
  <si>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</si>
  <si>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</si>
  <si>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</si>
  <si>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</si>
  <si>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</si>
  <si>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</si>
  <si>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</si>
  <si>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</si>
  <si>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</si>
  <si>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</si>
  <si>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</si>
  <si>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</si>
  <si>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</si>
  <si>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</si>
  <si>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</si>
  <si>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</si>
  <si>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</si>
  <si>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</si>
  <si>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</si>
  <si>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</si>
  <si>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</si>
  <si>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</si>
  <si>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</si>
  <si>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</si>
  <si>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</si>
  <si>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</si>
  <si>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</si>
  <si>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</si>
  <si>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</si>
  <si>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</si>
  <si>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</si>
  <si>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</si>
  <si>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</si>
  <si>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</si>
  <si>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</si>
  <si>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</si>
  <si>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</si>
  <si>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</si>
  <si>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</si>
  <si>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</si>
  <si>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</si>
  <si>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</si>
  <si>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</si>
  <si>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</si>
  <si>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</si>
  <si>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</si>
  <si>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</si>
  <si>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</si>
  <si>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</si>
  <si>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</si>
  <si>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</si>
  <si>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</si>
  <si>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</si>
  <si>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</si>
  <si>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</si>
  <si>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</si>
  <si>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</si>
  <si>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</si>
  <si>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</si>
  <si>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</si>
  <si>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</si>
  <si>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</si>
  <si>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</si>
  <si>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</si>
  <si>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</si>
  <si>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</si>
  <si>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</si>
  <si>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</si>
  <si>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</si>
  <si>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</si>
  <si>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</si>
  <si>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</si>
  <si>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</si>
  <si>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</si>
  <si>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</si>
  <si>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</si>
  <si>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</si>
  <si>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</si>
  <si>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</si>
  <si>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</si>
  <si>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</si>
  <si>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</si>
  <si>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</si>
  <si>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</si>
  <si>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</si>
  <si>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</si>
  <si>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</si>
  <si>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</si>
  <si>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</si>
  <si>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</si>
  <si>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</si>
  <si>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</si>
  <si>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</si>
  <si>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</si>
  <si>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</si>
  <si>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</si>
  <si>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</si>
  <si>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</si>
  <si>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</si>
  <si>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</si>
  <si>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</si>
  <si>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</si>
  <si>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</si>
  <si>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</si>
  <si>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</si>
  <si>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</si>
  <si>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</si>
  <si>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</si>
  <si>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</si>
  <si>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</si>
  <si>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</si>
  <si>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</si>
  <si>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</si>
  <si>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</si>
  <si>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</si>
  <si>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</si>
  <si>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</si>
  <si>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</si>
  <si>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</si>
  <si>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</si>
  <si>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</si>
  <si>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</si>
  <si>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</si>
  <si>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</si>
  <si>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</si>
  <si>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</si>
  <si>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</si>
  <si>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</si>
  <si>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</si>
  <si>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</si>
  <si>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</si>
  <si>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</si>
  <si>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</si>
  <si>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</si>
  <si>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</si>
  <si>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</si>
  <si>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</si>
  <si>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</si>
  <si>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</si>
  <si>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</si>
  <si>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</si>
  <si>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</si>
  <si>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</si>
  <si>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</si>
  <si>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</si>
  <si>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</si>
  <si>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</si>
  <si>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</si>
  <si>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</si>
  <si>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</si>
  <si>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</si>
  <si>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</si>
  <si>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</si>
  <si>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</si>
  <si>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</si>
  <si>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</si>
  <si>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</si>
  <si>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</si>
  <si>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</si>
  <si>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</si>
  <si>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</si>
  <si>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</si>
  <si>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</si>
  <si>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</si>
  <si>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</si>
  <si>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</si>
  <si>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</si>
  <si>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</si>
  <si>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</si>
  <si>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</si>
  <si>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</si>
  <si>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</si>
  <si>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</si>
  <si>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</si>
  <si>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</si>
  <si>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</si>
  <si>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</si>
  <si>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</si>
  <si>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</si>
  <si>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</si>
  <si>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</si>
  <si>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</si>
  <si>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</si>
  <si>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</si>
  <si>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</si>
  <si>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</si>
  <si>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</si>
  <si>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</si>
  <si>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</si>
  <si>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</si>
  <si>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</si>
  <si>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</si>
  <si>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</si>
  <si>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</si>
  <si>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</si>
  <si>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</si>
  <si>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</si>
  <si>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</si>
  <si>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</si>
  <si>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</si>
  <si>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</si>
  <si>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</si>
  <si>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</si>
  <si>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</si>
  <si>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</si>
  <si>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</si>
  <si>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</si>
  <si>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</si>
  <si>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</si>
  <si>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</si>
  <si>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</si>
  <si>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</si>
  <si>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</si>
  <si>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</si>
  <si>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</si>
  <si>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</si>
  <si>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</si>
  <si>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</si>
  <si>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</si>
  <si>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</si>
  <si>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</si>
  <si>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</si>
  <si>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</si>
  <si>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</si>
  <si>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</si>
  <si>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</si>
  <si>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</si>
  <si>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</si>
  <si>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</si>
  <si>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</si>
  <si>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</si>
  <si>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</si>
  <si>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</si>
  <si>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</si>
  <si>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</si>
  <si>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</si>
  <si>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</si>
  <si>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</si>
  <si>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</si>
  <si>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</si>
  <si>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</si>
  <si>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</si>
  <si>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</si>
  <si>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</si>
  <si>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</si>
  <si>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</si>
  <si>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</si>
  <si>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</si>
  <si>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</si>
  <si>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</si>
  <si>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</si>
  <si>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</si>
  <si>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</si>
  <si>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</si>
  <si>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</si>
  <si>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</si>
  <si>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</si>
  <si>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</si>
  <si>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</si>
  <si>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</si>
  <si>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</si>
  <si>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</si>
  <si>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</si>
  <si>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</si>
  <si>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</si>
  <si>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</si>
  <si>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</si>
  <si>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</si>
  <si>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</si>
  <si>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</si>
  <si>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</si>
  <si>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</si>
  <si>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</si>
  <si>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</si>
  <si>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</si>
  <si>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</si>
  <si>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</si>
  <si>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</si>
  <si>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</si>
  <si>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</si>
  <si>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</si>
  <si>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</si>
  <si>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</si>
  <si>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</si>
  <si>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</si>
  <si>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</si>
  <si>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</si>
  <si>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</si>
  <si>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</si>
  <si>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</si>
  <si>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</si>
  <si>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</si>
  <si>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</si>
  <si>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</si>
  <si>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</si>
  <si>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</si>
  <si>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</si>
  <si>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</si>
  <si>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</si>
  <si>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</si>
  <si>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</si>
  <si>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</si>
  <si>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</si>
  <si>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</si>
  <si>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</si>
  <si>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</si>
  <si>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</si>
  <si>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</si>
  <si>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</si>
  <si>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</si>
  <si>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</si>
  <si>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</si>
  <si>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</si>
  <si>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</si>
  <si>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</si>
  <si>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</si>
  <si>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</si>
  <si>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</si>
  <si>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</si>
  <si>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</si>
  <si>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</si>
  <si>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</si>
  <si>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</si>
  <si>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</si>
  <si>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</si>
  <si>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</si>
  <si>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</si>
  <si>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</si>
  <si>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</si>
  <si>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</si>
  <si>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</si>
  <si>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</si>
  <si>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</si>
  <si>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</si>
  <si>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</si>
  <si>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</si>
  <si>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</si>
  <si>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</si>
  <si>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</si>
  <si>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</si>
  <si>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</si>
  <si>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</si>
  <si>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</si>
  <si>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</si>
  <si>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</si>
  <si>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</si>
  <si>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</si>
  <si>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</si>
  <si>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</si>
  <si>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</si>
  <si>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</si>
  <si>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</si>
  <si>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</si>
  <si>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</si>
  <si>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</si>
  <si>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</si>
  <si>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</si>
  <si>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</si>
  <si>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</si>
  <si>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</si>
  <si>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</si>
  <si>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</si>
  <si>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</si>
  <si>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</si>
  <si>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</si>
  <si>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</si>
  <si>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</si>
  <si>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</si>
  <si>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</si>
  <si>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</si>
  <si>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</si>
  <si>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</si>
  <si>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</si>
  <si>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</si>
  <si>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</si>
  <si>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</si>
  <si>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</si>
  <si>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</si>
  <si>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</si>
  <si>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</si>
  <si>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</si>
  <si>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</si>
  <si>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</si>
  <si>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</si>
  <si>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</si>
  <si>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</si>
  <si>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</si>
  <si>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</si>
  <si>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</si>
  <si>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</si>
  <si>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</si>
  <si>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</si>
  <si>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</si>
  <si>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</si>
  <si>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</si>
  <si>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</si>
  <si>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</si>
  <si>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</si>
  <si>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</si>
  <si>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</si>
  <si>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</si>
  <si>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</si>
  <si>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</si>
  <si>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</si>
  <si>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</si>
  <si>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</si>
  <si>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</si>
  <si>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</si>
  <si>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</si>
  <si>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</si>
  <si>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</si>
  <si>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</si>
  <si>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</si>
  <si>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</si>
  <si>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</si>
  <si>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</si>
  <si>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</si>
  <si>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</si>
  <si>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</si>
  <si>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</si>
  <si>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</si>
  <si>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</si>
  <si>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</si>
  <si>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</si>
  <si>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</si>
  <si>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</si>
  <si>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</si>
  <si>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</si>
  <si>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</si>
  <si>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</si>
  <si>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</si>
  <si>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</si>
  <si>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</si>
  <si>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</si>
  <si>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</si>
  <si>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</si>
  <si>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</si>
  <si>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</si>
  <si>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</si>
  <si>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</si>
  <si>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</si>
  <si>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</si>
  <si>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</si>
  <si>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</si>
  <si>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</si>
  <si>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</si>
  <si>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</si>
  <si>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</si>
  <si>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</si>
  <si>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</si>
  <si>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</si>
  <si>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</si>
  <si>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</si>
  <si>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</si>
  <si>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</si>
  <si>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</si>
  <si>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</si>
  <si>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</si>
  <si>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</si>
  <si>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</si>
  <si>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</si>
  <si>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</si>
  <si>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</si>
  <si>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</si>
  <si>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</si>
  <si>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</si>
  <si>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</si>
  <si>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</si>
  <si>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</si>
  <si>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</si>
  <si>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</si>
  <si>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</si>
  <si>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</si>
  <si>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</si>
  <si>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</si>
  <si>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</si>
  <si>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</si>
  <si>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</si>
  <si>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</si>
  <si>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</si>
  <si>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</si>
  <si>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</si>
  <si>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</si>
  <si>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</si>
  <si>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</si>
  <si>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</si>
  <si>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</si>
  <si>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</si>
  <si>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</si>
  <si>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</si>
  <si>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</si>
  <si>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</si>
  <si>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</si>
  <si>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</si>
  <si>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</si>
  <si>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</si>
  <si>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</si>
  <si>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</si>
  <si>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</si>
  <si>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</si>
  <si>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</si>
  <si>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</si>
  <si>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</si>
  <si>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</si>
  <si>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</si>
  <si>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</si>
  <si>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</si>
  <si>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</si>
  <si>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</si>
  <si>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</si>
  <si>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</si>
  <si>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</si>
  <si>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</si>
  <si>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</si>
  <si>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</si>
  <si>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</si>
  <si>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</si>
  <si>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</si>
  <si>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</si>
  <si>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</si>
  <si>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</si>
  <si>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</si>
  <si>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</si>
  <si>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</si>
  <si>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</si>
  <si>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</si>
  <si>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</si>
  <si>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</si>
  <si>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</si>
  <si>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</si>
  <si>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</si>
  <si>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</si>
  <si>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</si>
  <si>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</si>
  <si>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</si>
  <si>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</si>
  <si>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</si>
  <si>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</si>
  <si>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</si>
  <si>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</si>
  <si>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</si>
  <si>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</si>
  <si>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</si>
  <si>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</si>
  <si>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</si>
  <si>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</si>
  <si>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</si>
  <si>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</si>
  <si>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</si>
  <si>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</si>
  <si>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</si>
  <si>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</si>
  <si>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</si>
  <si>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</si>
  <si>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</si>
  <si>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</si>
  <si>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</si>
  <si>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</si>
  <si>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</si>
  <si>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</si>
  <si>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</si>
  <si>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</si>
  <si>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</si>
  <si>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</si>
  <si>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</si>
  <si>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</si>
  <si>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</si>
  <si>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</si>
  <si>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</si>
  <si>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</si>
  <si>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</si>
  <si>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</si>
  <si>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</si>
  <si>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</si>
  <si>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</si>
  <si>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</si>
  <si>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</si>
  <si>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</si>
  <si>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</si>
  <si>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</si>
  <si>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</si>
  <si>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</si>
  <si>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</si>
  <si>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</si>
  <si>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</si>
  <si>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</si>
  <si>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</si>
  <si>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</si>
  <si>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</si>
  <si>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</si>
  <si>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</si>
  <si>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</si>
  <si>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</si>
  <si>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</si>
  <si>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</si>
  <si>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</si>
  <si>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</si>
  <si>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</si>
  <si>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</si>
  <si>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</si>
  <si>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</si>
  <si>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</si>
  <si>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</si>
  <si>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</si>
  <si>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</si>
  <si>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</si>
  <si>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</si>
  <si>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</si>
  <si>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</si>
  <si>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</si>
  <si>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</si>
  <si>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</si>
  <si>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</si>
  <si>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</si>
  <si>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</si>
  <si>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</si>
  <si>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</si>
  <si>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</si>
  <si>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</si>
  <si>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</si>
  <si>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</si>
  <si>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</si>
  <si>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</si>
  <si>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</si>
  <si>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</si>
  <si>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</si>
  <si>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</si>
  <si>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</si>
  <si>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</si>
  <si>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</si>
  <si>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</si>
  <si>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</si>
  <si>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</si>
  <si>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</si>
  <si>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</si>
  <si>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</si>
  <si>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</si>
  <si>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</si>
  <si>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</si>
  <si>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</si>
  <si>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</si>
  <si>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</si>
  <si>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</si>
  <si>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</si>
  <si>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</si>
  <si>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</si>
  <si>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</si>
  <si>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</si>
  <si>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</si>
  <si>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</si>
  <si>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</si>
  <si>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</si>
  <si>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</si>
  <si>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</si>
  <si>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</si>
  <si>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</si>
  <si>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</si>
  <si>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</si>
  <si>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</si>
  <si>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</si>
  <si>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</si>
  <si>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</si>
  <si>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</si>
  <si>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</si>
  <si>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</si>
  <si>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</si>
  <si>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</si>
  <si>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</si>
  <si>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</si>
  <si>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</si>
  <si>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</si>
  <si>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</si>
  <si>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</si>
  <si>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</si>
  <si>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</si>
  <si>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</si>
  <si>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</si>
  <si>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</si>
  <si>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</si>
  <si>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</si>
  <si>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</si>
  <si>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</si>
  <si>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</si>
  <si>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</si>
  <si>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</si>
  <si>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</si>
  <si>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</si>
  <si>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</si>
  <si>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</si>
  <si>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</si>
  <si>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</si>
  <si>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</si>
  <si>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</si>
  <si>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</si>
  <si>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</si>
  <si>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</si>
  <si>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</si>
  <si>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</si>
  <si>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</si>
  <si>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</si>
  <si>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</si>
  <si>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</si>
  <si>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</si>
  <si>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</si>
  <si>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</si>
  <si>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</si>
  <si>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</si>
  <si>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</si>
  <si>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</si>
  <si>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</si>
  <si>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</si>
  <si>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</si>
  <si>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</si>
  <si>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</si>
  <si>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</si>
  <si>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</si>
  <si>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</si>
  <si>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</si>
  <si>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</si>
  <si>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</si>
  <si>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</si>
  <si>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</si>
  <si>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</si>
  <si>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</si>
  <si>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</si>
  <si>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</si>
  <si>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</si>
  <si>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</si>
  <si>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</si>
  <si>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</si>
  <si>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</si>
  <si>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</si>
  <si>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</si>
  <si>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</si>
  <si>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</si>
  <si>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</si>
  <si>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</si>
  <si>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</si>
  <si>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</si>
  <si>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</si>
  <si>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</si>
  <si>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</si>
  <si>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</si>
  <si>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</si>
  <si>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</si>
  <si>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</si>
  <si>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</si>
  <si>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</si>
  <si>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</si>
  <si>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</si>
  <si>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</si>
  <si>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</si>
  <si>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</si>
  <si>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</si>
  <si>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</si>
  <si>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</si>
  <si>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</si>
  <si>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</si>
  <si>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</si>
  <si>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</si>
  <si>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</si>
  <si>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</si>
  <si>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</si>
  <si>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</si>
  <si>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</si>
  <si>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</si>
  <si>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</si>
  <si>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</si>
  <si>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</si>
  <si>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</si>
  <si>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</si>
  <si>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</si>
  <si>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</si>
  <si>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</si>
  <si>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</si>
  <si>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</si>
  <si>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</si>
  <si>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</si>
  <si>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</si>
  <si>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</si>
  <si>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</si>
  <si>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</si>
  <si>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</si>
  <si>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</si>
  <si>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</si>
  <si>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</si>
  <si>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</si>
  <si>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</si>
  <si>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</si>
  <si>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</si>
  <si>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</si>
  <si>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</si>
  <si>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</si>
  <si>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</si>
  <si>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</si>
  <si>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</si>
  <si>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</si>
  <si>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</si>
  <si>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</si>
  <si>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</si>
  <si>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</si>
  <si>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</si>
  <si>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</si>
  <si>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</si>
  <si>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</si>
  <si>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</si>
  <si>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</si>
  <si>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</si>
  <si>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</si>
  <si>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</si>
  <si>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</si>
  <si>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</si>
  <si>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</si>
  <si>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</si>
  <si>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</si>
  <si>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</si>
  <si>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</si>
  <si>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</si>
  <si>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</si>
  <si>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</si>
  <si>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</si>
  <si>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</si>
  <si>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</si>
  <si>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</si>
  <si>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</si>
  <si>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</si>
  <si>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</si>
  <si>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</si>
  <si>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</si>
  <si>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</si>
  <si>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</si>
  <si>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</si>
  <si>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</si>
  <si>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</si>
  <si>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</si>
  <si>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</si>
  <si>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</si>
  <si>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</si>
  <si>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</si>
  <si>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</si>
  <si>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</si>
  <si>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</si>
  <si>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</si>
  <si>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</si>
  <si>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</si>
  <si>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</si>
  <si>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</si>
  <si>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</si>
  <si>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</si>
  <si>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</si>
  <si>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</si>
  <si>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</si>
  <si>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</si>
  <si>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</si>
  <si>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</si>
  <si>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</si>
  <si>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</si>
  <si>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</si>
  <si>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</si>
  <si>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</si>
  <si>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</si>
  <si>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</si>
  <si>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</si>
  <si>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</si>
  <si>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</si>
  <si>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</si>
  <si>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</si>
  <si>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</si>
  <si>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</si>
  <si>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</si>
  <si>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</si>
  <si>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</si>
  <si>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</si>
  <si>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</si>
  <si>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</si>
  <si>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</si>
  <si>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</si>
  <si>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</si>
  <si>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</si>
  <si>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</si>
  <si>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</si>
  <si>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</si>
  <si>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</si>
  <si>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</si>
  <si>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</si>
  <si>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</si>
  <si>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</si>
  <si>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</si>
  <si>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</si>
  <si>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</si>
  <si>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</si>
  <si>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</si>
  <si>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</si>
  <si>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</si>
  <si>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</si>
  <si>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</si>
  <si>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</si>
  <si>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</si>
  <si>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</si>
  <si>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</si>
  <si>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</si>
  <si>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</si>
  <si>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</si>
  <si>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</si>
  <si>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</si>
  <si>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</si>
  <si>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</si>
  <si>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</si>
  <si>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</si>
  <si>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</si>
  <si>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</si>
  <si>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</si>
  <si>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</si>
  <si>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</si>
  <si>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</si>
  <si>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</si>
  <si>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</si>
  <si>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</si>
  <si>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</si>
  <si>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</si>
  <si>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</si>
  <si>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</si>
  <si>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</si>
  <si>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</si>
  <si>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</si>
  <si>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</si>
  <si>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</si>
  <si>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</si>
  <si>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</si>
  <si>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</si>
  <si>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</si>
  <si>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</si>
  <si>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</si>
  <si>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</si>
  <si>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</si>
  <si>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</si>
  <si>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</si>
  <si>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</si>
  <si>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</si>
  <si>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</si>
  <si>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</si>
  <si>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</si>
  <si>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</si>
  <si>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</si>
  <si>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</si>
  <si>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</si>
  <si>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</si>
  <si>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</si>
  <si>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</si>
  <si>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</si>
  <si>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</si>
  <si>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</si>
  <si>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</si>
  <si>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</si>
  <si>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</si>
  <si>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</si>
  <si>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</si>
  <si>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</si>
  <si>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</si>
  <si>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</si>
  <si>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</si>
  <si>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</si>
  <si>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</si>
  <si>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</si>
  <si>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</si>
  <si>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</si>
  <si>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</si>
  <si>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</si>
  <si>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</si>
  <si>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</si>
  <si>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</si>
  <si>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</si>
  <si>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</si>
  <si>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</si>
  <si>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</si>
  <si>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</si>
  <si>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</si>
  <si>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</si>
  <si>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</si>
  <si>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</si>
  <si>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</si>
  <si>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</si>
  <si>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</si>
  <si>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</si>
  <si>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</si>
  <si>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</si>
  <si>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</si>
  <si>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</si>
  <si>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</si>
  <si>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</si>
  <si>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</si>
  <si>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</si>
  <si>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</si>
  <si>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</si>
  <si>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</si>
  <si>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</si>
  <si>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</si>
  <si>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</si>
  <si>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</si>
  <si>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</si>
  <si>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</si>
  <si>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</si>
  <si>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</si>
  <si>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</si>
  <si>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</si>
  <si>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</si>
  <si>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</si>
  <si>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</si>
  <si>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</si>
  <si>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</si>
  <si>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</si>
  <si>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</si>
  <si>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</si>
  <si>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</si>
  <si>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</si>
  <si>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</si>
  <si>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</si>
  <si>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</si>
  <si>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</si>
  <si>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</si>
  <si>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</si>
  <si>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</si>
  <si>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</si>
  <si>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</si>
  <si>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</si>
  <si>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</si>
  <si>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</si>
  <si>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</si>
  <si>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</si>
  <si>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</si>
  <si>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</si>
  <si>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</si>
  <si>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</si>
  <si>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</si>
  <si>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</si>
  <si>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</si>
  <si>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</si>
  <si>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</si>
  <si>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</si>
  <si>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</si>
  <si>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</si>
  <si>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</si>
  <si>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</si>
  <si>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</si>
  <si>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</si>
  <si>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</si>
  <si>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</si>
  <si>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</si>
  <si>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</si>
  <si>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</si>
  <si>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</si>
  <si>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</si>
  <si>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</si>
  <si>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</si>
  <si>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</si>
  <si>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</si>
  <si>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</si>
  <si>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</si>
  <si>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</si>
  <si>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</si>
  <si>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</si>
  <si>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</si>
  <si>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</si>
  <si>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</si>
  <si>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</si>
  <si>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</si>
  <si>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</si>
  <si>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</si>
  <si>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</si>
  <si>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</si>
  <si>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</si>
  <si>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</si>
  <si>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</si>
  <si>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</si>
  <si>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</si>
  <si>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</si>
  <si>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</si>
  <si>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</si>
  <si>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</si>
  <si>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</si>
  <si>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</si>
  <si>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</si>
  <si>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</si>
  <si>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</si>
  <si>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</si>
  <si>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</si>
  <si>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</si>
  <si>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</si>
  <si>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</si>
  <si>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</si>
  <si>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</si>
  <si>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</si>
  <si>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</si>
  <si>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</si>
  <si>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</si>
  <si>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</si>
  <si>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</si>
  <si>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</si>
  <si>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</si>
  <si>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</si>
  <si>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</si>
  <si>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</si>
  <si>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</si>
  <si>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</si>
  <si>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</si>
  <si>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</si>
  <si>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</si>
  <si>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</si>
  <si>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</si>
  <si>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</si>
  <si>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</si>
  <si>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</si>
  <si>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</si>
  <si>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</si>
  <si>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</si>
  <si>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</si>
  <si>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</si>
  <si>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</si>
  <si>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</si>
  <si>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</si>
  <si>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</si>
  <si>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</si>
  <si>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</si>
  <si>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</si>
  <si>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</si>
  <si>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</si>
  <si>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</si>
  <si>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</si>
  <si>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</si>
  <si>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</si>
  <si>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</si>
  <si>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</si>
  <si>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</si>
  <si>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</si>
  <si>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</si>
  <si>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</si>
  <si>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</si>
  <si>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</si>
  <si>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</si>
  <si>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</si>
  <si>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</si>
  <si>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</si>
  <si>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</si>
  <si>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</si>
  <si>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</si>
  <si>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</si>
  <si>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</si>
  <si>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</si>
  <si>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</si>
  <si>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</si>
  <si>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</si>
  <si>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</si>
  <si>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</si>
  <si>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</si>
  <si>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</si>
  <si>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</si>
  <si>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</si>
  <si>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</si>
  <si>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</si>
  <si>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</si>
  <si>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</si>
  <si>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</si>
  <si>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</si>
  <si>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</si>
  <si>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</si>
  <si>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</si>
  <si>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</si>
  <si>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</si>
  <si>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</si>
  <si>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</si>
  <si>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</si>
  <si>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</si>
  <si>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</si>
  <si>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</si>
  <si>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</si>
  <si>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</si>
  <si>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</si>
  <si>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</si>
  <si>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</si>
  <si>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</si>
  <si>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</si>
  <si>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</si>
  <si>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</si>
  <si>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</si>
  <si>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</si>
  <si>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</si>
  <si>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</si>
  <si>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</si>
  <si>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</si>
  <si>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</si>
  <si>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</si>
  <si>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</si>
  <si>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</si>
  <si>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</si>
  <si>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</si>
  <si>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</si>
  <si>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</si>
  <si>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</si>
  <si>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</si>
  <si>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</si>
  <si>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</si>
  <si>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</si>
  <si>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</si>
  <si>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</si>
  <si>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</si>
  <si>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</si>
  <si>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</si>
  <si>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</si>
  <si>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</si>
  <si>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</si>
  <si>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</si>
  <si>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</si>
  <si>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</si>
  <si>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</si>
  <si>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</si>
  <si>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</si>
  <si>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</si>
  <si>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</si>
  <si>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</si>
  <si>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</si>
  <si>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</si>
  <si>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</si>
  <si>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</si>
  <si>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</si>
  <si>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</si>
  <si>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</si>
  <si>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</si>
  <si>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</si>
  <si>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</si>
  <si>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</si>
  <si>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</si>
  <si>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</si>
  <si>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</si>
  <si>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</si>
  <si>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</si>
  <si>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</si>
  <si>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</si>
  <si>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</si>
  <si>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</si>
  <si>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</si>
  <si>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</si>
  <si>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</si>
  <si>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</si>
  <si>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</si>
  <si>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</si>
  <si>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</si>
  <si>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</si>
  <si>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</si>
  <si>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</si>
  <si>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</si>
  <si>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</si>
  <si>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</si>
  <si>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</si>
  <si>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</si>
  <si>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</si>
  <si>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</si>
  <si>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</si>
  <si>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</si>
  <si>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</si>
  <si>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</si>
  <si>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</si>
  <si>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</si>
  <si>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</si>
  <si>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</si>
  <si>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</si>
  <si>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</si>
  <si>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</si>
  <si>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</si>
  <si>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</si>
  <si>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</si>
  <si>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</si>
  <si>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</si>
  <si>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</si>
  <si>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</si>
  <si>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</si>
  <si>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</si>
  <si>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</si>
  <si>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</si>
  <si>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</si>
  <si>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</si>
  <si>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</si>
  <si>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</si>
  <si>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</si>
  <si>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</si>
  <si>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</si>
  <si>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</si>
  <si>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</si>
  <si>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</si>
  <si>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</si>
  <si>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</si>
  <si>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</si>
  <si>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</si>
  <si>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</si>
  <si>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</si>
  <si>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</si>
  <si>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</si>
  <si>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</si>
  <si>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</si>
  <si>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</si>
  <si>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</si>
  <si>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</si>
  <si>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</si>
  <si>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</si>
  <si>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</si>
  <si>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</si>
  <si>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</si>
  <si>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</si>
  <si>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</si>
  <si>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</si>
  <si>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</si>
  <si>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</si>
  <si>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</si>
  <si>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</si>
  <si>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</si>
  <si>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</si>
  <si>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</si>
  <si>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</si>
  <si>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</si>
  <si>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</si>
  <si>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</si>
  <si>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</si>
  <si>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</si>
  <si>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</si>
  <si>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</si>
  <si>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</si>
  <si>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</si>
  <si>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</si>
  <si>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</si>
  <si>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</si>
  <si>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</si>
  <si>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</si>
  <si>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</si>
  <si>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</si>
  <si>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</si>
  <si>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</si>
  <si>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</si>
  <si>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</si>
  <si>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</si>
  <si>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</si>
  <si>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</si>
  <si>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</si>
  <si>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</si>
  <si>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</si>
  <si>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</si>
  <si>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</si>
  <si>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</si>
  <si>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</si>
  <si>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</si>
  <si>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</si>
  <si>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</si>
  <si>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</si>
  <si>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</si>
  <si>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</si>
  <si>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</si>
  <si>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</si>
  <si>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</si>
  <si>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</si>
  <si>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</si>
  <si>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</si>
  <si>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</si>
  <si>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</si>
  <si>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</si>
  <si>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</si>
  <si>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</si>
  <si>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</si>
  <si>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</si>
  <si>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</si>
  <si>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</si>
  <si>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</si>
  <si>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</si>
  <si>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</si>
  <si>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</si>
  <si>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</si>
  <si>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</si>
  <si>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</si>
  <si>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</si>
  <si>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</si>
  <si>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</si>
  <si>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</si>
  <si>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</si>
  <si>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</si>
  <si>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</si>
  <si>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</si>
  <si>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</si>
  <si>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</si>
  <si>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</si>
  <si>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</si>
  <si>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</si>
  <si>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</si>
  <si>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</si>
  <si>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</si>
  <si>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</si>
  <si>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</si>
  <si>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</si>
  <si>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</si>
  <si>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</si>
  <si>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</si>
  <si>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</si>
  <si>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</si>
  <si>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</si>
  <si>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</si>
  <si>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</si>
  <si>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</si>
  <si>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</si>
  <si>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</si>
  <si>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</si>
  <si>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</si>
  <si>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</si>
  <si>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</si>
  <si>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</si>
  <si>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</si>
  <si>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</si>
  <si>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</si>
  <si>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</si>
  <si>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</si>
  <si>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</si>
  <si>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</si>
  <si>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</si>
  <si>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</si>
  <si>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</si>
  <si>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</si>
  <si>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</si>
  <si>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</si>
  <si>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</si>
  <si>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</si>
  <si>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</si>
  <si>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</si>
  <si>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</si>
  <si>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</si>
  <si>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</si>
  <si>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</si>
  <si>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</si>
  <si>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</si>
  <si>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</si>
  <si>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</si>
  <si>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</si>
  <si>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</si>
  <si>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</si>
  <si>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</si>
  <si>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</si>
  <si>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</si>
  <si>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</si>
  <si>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</si>
  <si>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</si>
  <si>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</si>
  <si>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</si>
  <si>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</si>
  <si>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</si>
  <si>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</si>
  <si>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</si>
  <si>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</si>
  <si>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</si>
  <si>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</si>
  <si>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</si>
  <si>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</si>
  <si>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</si>
  <si>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</si>
  <si>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</si>
  <si>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</si>
  <si>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</si>
  <si>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</si>
  <si>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</si>
  <si>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</si>
  <si>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</si>
  <si>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</si>
  <si>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</si>
  <si>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</si>
  <si>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</si>
  <si>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</si>
  <si>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</si>
  <si>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</si>
  <si>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</si>
  <si>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</si>
  <si>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</si>
  <si>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</si>
  <si>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</si>
  <si>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</si>
  <si>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</si>
  <si>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</si>
  <si>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</si>
  <si>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</si>
  <si>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</si>
  <si>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</si>
  <si>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</si>
  <si>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</si>
  <si>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</si>
  <si>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</si>
  <si>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</si>
  <si>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</si>
  <si>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</si>
  <si>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</si>
  <si>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</si>
  <si>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</si>
  <si>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</si>
  <si>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</si>
  <si>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</si>
  <si>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</si>
  <si>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</si>
  <si>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</si>
  <si>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</si>
  <si>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</si>
  <si>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</si>
  <si>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</si>
  <si>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</si>
  <si>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</si>
  <si>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</si>
  <si>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</si>
  <si>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</si>
  <si>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</si>
  <si>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</si>
  <si>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</si>
  <si>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</si>
  <si>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</si>
  <si>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</si>
  <si>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</si>
  <si>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</si>
  <si>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</si>
  <si>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</si>
  <si>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</si>
  <si>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</si>
  <si>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</si>
  <si>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</si>
  <si>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</si>
  <si>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</si>
  <si>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</si>
  <si>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</si>
  <si>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</si>
  <si>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</si>
  <si>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</si>
  <si>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</si>
  <si>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</si>
  <si>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</si>
  <si>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</si>
  <si>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</si>
  <si>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</si>
  <si>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</si>
  <si>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</si>
  <si>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</si>
  <si>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</si>
  <si>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</si>
  <si>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</si>
  <si>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</si>
  <si>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</si>
  <si>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</si>
  <si>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</si>
  <si>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</si>
  <si>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</si>
  <si>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</si>
  <si>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</si>
  <si>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</si>
  <si>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</si>
  <si>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</si>
  <si>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</si>
  <si>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</si>
  <si>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</si>
  <si>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</si>
  <si>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</si>
  <si>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</si>
  <si>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</si>
  <si>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</si>
  <si>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</si>
  <si>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</si>
  <si>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</si>
  <si>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</si>
  <si>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</si>
  <si>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</si>
  <si>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</si>
  <si>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</si>
  <si>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</si>
  <si>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</si>
  <si>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</si>
  <si>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</si>
  <si>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</si>
  <si>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</si>
  <si>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</si>
  <si>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</si>
  <si>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</si>
  <si>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</si>
  <si>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</si>
  <si>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</si>
  <si>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</si>
  <si>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</si>
  <si>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</si>
  <si>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</si>
  <si>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</si>
  <si>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</si>
  <si>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</si>
  <si>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</si>
  <si>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</si>
  <si>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</si>
  <si>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</si>
  <si>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</si>
  <si>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</si>
  <si>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</si>
  <si>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</si>
  <si>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</si>
  <si>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</si>
  <si>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</si>
  <si>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</si>
  <si>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</si>
  <si>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</si>
  <si>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</si>
  <si>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</si>
  <si>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</si>
  <si>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</si>
  <si>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</si>
  <si>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</si>
  <si>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</si>
  <si>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</si>
  <si>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</si>
  <si>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</si>
  <si>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</si>
  <si>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</si>
  <si>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</si>
  <si>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</si>
  <si>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</si>
  <si>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</si>
  <si>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</si>
  <si>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</si>
  <si>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</si>
  <si>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</si>
  <si>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</si>
  <si>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</si>
  <si>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</si>
  <si>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</si>
  <si>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</si>
  <si>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</si>
  <si>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</si>
  <si>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</si>
  <si>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</si>
  <si>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</si>
  <si>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</si>
  <si>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</si>
  <si>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</si>
  <si>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</si>
  <si>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</si>
  <si>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</si>
  <si>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</si>
  <si>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</si>
  <si>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</si>
  <si>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</si>
  <si>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</si>
  <si>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</si>
  <si>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</si>
  <si>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</si>
  <si>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</si>
  <si>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</si>
  <si>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</si>
  <si>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</si>
  <si>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</si>
  <si>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</si>
  <si>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</si>
  <si>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</si>
  <si>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</si>
  <si>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</si>
  <si>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</si>
  <si>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</si>
  <si>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</si>
  <si>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</si>
  <si>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</si>
  <si>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</si>
  <si>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</si>
  <si>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</si>
  <si>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</si>
  <si>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</si>
  <si>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</si>
  <si>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</si>
  <si>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</si>
  <si>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</si>
  <si>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</si>
  <si>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</si>
  <si>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</si>
  <si>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</si>
  <si>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</si>
  <si>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</si>
  <si>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</si>
  <si>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</si>
  <si>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</si>
  <si>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</si>
  <si>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</si>
  <si>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</si>
  <si>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</si>
  <si>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</si>
  <si>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</si>
  <si>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</si>
  <si>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</si>
  <si>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</si>
  <si>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</si>
  <si>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</si>
  <si>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</si>
  <si>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</si>
  <si>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</si>
  <si>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</si>
  <si>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</si>
  <si>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</si>
  <si>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</si>
  <si>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</si>
  <si>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</si>
  <si>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</si>
  <si>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</si>
  <si>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</si>
  <si>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</si>
  <si>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</si>
  <si>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</si>
  <si>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</si>
  <si>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</si>
  <si>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</si>
  <si>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</si>
  <si>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</si>
  <si>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</si>
  <si>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</si>
  <si>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</si>
  <si>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</si>
  <si>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</si>
  <si>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</si>
  <si>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</si>
  <si>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</si>
  <si>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</si>
  <si>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</si>
  <si>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</si>
  <si>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</si>
  <si>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</si>
  <si>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</si>
  <si>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</si>
  <si>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</si>
  <si>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</si>
  <si>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</si>
  <si>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</si>
  <si>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</si>
  <si>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</si>
  <si>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</si>
  <si>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</si>
  <si>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</si>
  <si>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</si>
  <si>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</si>
  <si>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</si>
  <si>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</si>
  <si>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</si>
  <si>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</si>
  <si>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</si>
  <si>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</si>
  <si>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</si>
  <si>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</si>
  <si>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</si>
  <si>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</si>
  <si>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</si>
  <si>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</si>
  <si>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</si>
  <si>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</si>
  <si>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</si>
  <si>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</si>
  <si>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99774</t>
  </si>
  <si>
    <t>151290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</si>
  <si>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</si>
  <si>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</si>
  <si>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</si>
  <si>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</si>
  <si>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</si>
  <si>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</si>
  <si>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</si>
  <si>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</si>
  <si>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</si>
  <si>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</si>
  <si>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</si>
  <si>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</si>
  <si>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</si>
  <si>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</si>
  <si>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</si>
  <si>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</si>
  <si>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</si>
  <si>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</si>
  <si>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</si>
  <si>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</si>
  <si>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</si>
  <si>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</si>
  <si>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</si>
  <si>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</si>
  <si>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</si>
  <si>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</si>
  <si>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</si>
  <si>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</si>
  <si>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</si>
  <si>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</si>
  <si>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</si>
  <si>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</si>
  <si>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</si>
  <si>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</si>
  <si>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</si>
  <si>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</si>
  <si>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</si>
  <si>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</si>
  <si>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</si>
  <si>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</si>
  <si>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</si>
  <si>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</si>
  <si>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</si>
  <si>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</si>
  <si>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</si>
  <si>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</si>
  <si>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</si>
  <si>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</si>
  <si>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</si>
  <si>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</si>
  <si>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</si>
  <si>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</si>
  <si>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</si>
  <si>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</si>
  <si>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</si>
  <si>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</si>
  <si>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</si>
  <si>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</si>
  <si>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</si>
  <si>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</si>
  <si>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</si>
  <si>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</si>
  <si>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</si>
  <si>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</si>
  <si>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</si>
  <si>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</si>
  <si>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</si>
  <si>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</si>
  <si>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</si>
  <si>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</si>
  <si>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</si>
  <si>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</si>
  <si>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</si>
  <si>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</si>
  <si>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</si>
  <si>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</si>
  <si>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</si>
  <si>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</si>
  <si>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</si>
  <si>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</si>
  <si>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</si>
  <si>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</si>
  <si>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</si>
  <si>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</si>
  <si>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</si>
  <si>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101604</t>
  </si>
  <si>
    <t>153865</t>
  </si>
  <si>
    <t>886</t>
  </si>
  <si>
    <t>100660</t>
  </si>
  <si>
    <t>152582</t>
  </si>
  <si>
    <t>1784</t>
  </si>
  <si>
    <t>71410</t>
  </si>
  <si>
    <t>143178</t>
  </si>
  <si>
    <t>71</t>
  </si>
  <si>
    <t>2134</t>
  </si>
  <si>
    <t>69626</t>
  </si>
  <si>
    <t>139130</t>
  </si>
  <si>
    <t>703</t>
  </si>
  <si>
    <t>176208</t>
  </si>
  <si>
    <t>338803</t>
  </si>
  <si>
    <t>514</t>
  </si>
  <si>
    <t>175505</t>
  </si>
  <si>
    <t>337244</t>
  </si>
  <si>
    <t>336</t>
  </si>
  <si>
    <t>1118</t>
  </si>
  <si>
    <t>120679</t>
  </si>
  <si>
    <t>267427</t>
  </si>
  <si>
    <t>679</t>
  </si>
  <si>
    <t>119561</t>
  </si>
  <si>
    <t>265499</t>
  </si>
  <si>
    <t>433</t>
  </si>
  <si>
    <t>135238</t>
  </si>
  <si>
    <t>401624</t>
  </si>
  <si>
    <t>741</t>
  </si>
  <si>
    <t>134805</t>
  </si>
  <si>
    <t>400219</t>
  </si>
  <si>
    <t>1091</t>
  </si>
  <si>
    <t>435278</t>
  </si>
  <si>
    <t>1580128</t>
  </si>
  <si>
    <t>434187</t>
  </si>
  <si>
    <t>1575090</t>
  </si>
  <si>
    <t>915</t>
  </si>
  <si>
    <t>205593</t>
  </si>
  <si>
    <t>691263</t>
  </si>
  <si>
    <t>204678</t>
  </si>
  <si>
    <t>687820</t>
  </si>
  <si>
    <t>102409</t>
  </si>
  <si>
    <t>155035</t>
  </si>
  <si>
    <t>102407</t>
  </si>
  <si>
    <t>633</t>
  </si>
  <si>
    <t>73532</t>
  </si>
  <si>
    <t>147456</t>
  </si>
  <si>
    <t>1489</t>
  </si>
  <si>
    <t>72899</t>
  </si>
  <si>
    <t>146058</t>
  </si>
  <si>
    <t>177396</t>
  </si>
  <si>
    <t>340879</t>
  </si>
  <si>
    <t>8</t>
  </si>
  <si>
    <t>1038</t>
  </si>
  <si>
    <t>177394</t>
  </si>
  <si>
    <t>340875</t>
  </si>
  <si>
    <t>148</t>
  </si>
  <si>
    <t>176356</t>
  </si>
  <si>
    <t>338953</t>
  </si>
  <si>
    <t>301</t>
  </si>
  <si>
    <t>122019</t>
  </si>
  <si>
    <t>269907</t>
  </si>
  <si>
    <t>1039</t>
  </si>
  <si>
    <t>121718</t>
  </si>
  <si>
    <t>269368</t>
  </si>
  <si>
    <t>137294</t>
  </si>
  <si>
    <t>408182</t>
  </si>
  <si>
    <t>1293</t>
  </si>
  <si>
    <t>763</t>
  </si>
  <si>
    <t>136001</t>
  </si>
  <si>
    <t>404067</t>
  </si>
  <si>
    <t>437029</t>
  </si>
  <si>
    <t>1588095</t>
  </si>
  <si>
    <t>598</t>
  </si>
  <si>
    <t>436431</t>
  </si>
  <si>
    <t>1585119</t>
  </si>
  <si>
    <t>516</t>
  </si>
  <si>
    <t>207021</t>
  </si>
  <si>
    <t>696842</t>
  </si>
  <si>
    <t>291</t>
  </si>
  <si>
    <t>206505</t>
  </si>
  <si>
    <t>694798</t>
  </si>
  <si>
    <t>Escavação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</si>
</sst>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8727524204702726E-2"/>
              <c:y val="-4.1830065359477135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layout>
                <c:manualLayout>
                  <c:x val="-3.8727524204702726E-2"/>
                  <c:y val="-4.18300653594771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C3" sqref="C3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abSelected="1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8"/>
  <sheetViews>
    <sheetView zoomScaleNormal="100" workbookViewId="0">
      <pane ySplit="4" topLeftCell="A849" activePane="bottomLeft" state="frozen"/>
      <selection pane="bottomLeft" activeCell="H861" sqref="H861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>IFERROR(O734/K734,)</f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>IFERROR(O735/K735,)</f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>IFERROR(O736/K736,)</f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>IFERROR(O737/K737,)</f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>IFERROR(O738/K738,)</f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>IFERROR(O739/K739,)</f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>IFERROR(O740/K740,)</f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>IFERROR(O741/K741,)</f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>IFERROR(O742/K742,)</f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>IFERROR(O743/K743,)</f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>IFERROR(O744/K744,)</f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>IFERROR(O745/K745,)</f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>IFERROR(O746/K746,)</f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>IFERROR(O747/K747,)</f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>IFERROR(O748/K748,)</f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>IFERROR(O749/K749,)</f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>15000/7</f>
        <v>2142.8571428571427</v>
      </c>
      <c r="I750" s="6">
        <f>IFERROR(O750/K750,)</f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>15000/7</f>
        <v>2142.8571428571427</v>
      </c>
      <c r="I751" s="6">
        <f>IFERROR(O751/K751,)</f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>15000/7</f>
        <v>2142.8571428571427</v>
      </c>
      <c r="I752" s="6">
        <f>IFERROR(O752/K752,)</f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>15000/7</f>
        <v>2142.8571428571427</v>
      </c>
      <c r="I753" s="6">
        <f>IFERROR(O753/K753,)</f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>15000/7</f>
        <v>2142.8571428571427</v>
      </c>
      <c r="I754" s="6">
        <f>IFERROR(O754/K754,)</f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>IFERROR(O755/K755,)</f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>IFERROR(O758/K758,)</f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>IFERROR(O759/K759,)</f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>IFERROR(O760/K760,)</f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>IFERROR(O762/K762,)</f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>IFERROR(O763/K763,)</f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>IFERROR(O764/K764,)</f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>IFERROR(O766/K766,)</f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>IFERROR(O767/K767,)</f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>IFERROR(O768/K768,)</f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>IFERROR(O769/K769,)</f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>IFERROR(O770/K770,)</f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>IFERROR(O771/K771,)</f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>IFERROR(O772/K772,)</f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>IFERROR(O774/K774,)</f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>IFERROR(O775/K775,)</f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>IFERROR(O776/K776,)</f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>IFERROR(O777/K777,)</f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>IFERROR(O778/K778,)</f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>IFERROR(O779/K779,)</f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>IFERROR(O780/K780,)</f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>IFERROR(O781/K781,)</f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>IFERROR(O782/K782,)</f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>IFERROR(O783/K783,)</f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>IFERROR(O784/K784,)</f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>IFERROR(O786/K786,)</f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>IFERROR(O787/K787,)</f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>IFERROR(O788/K788,)</f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>IFERROR(O789/K789,)</f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>IFERROR(O790/K790,)</f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>IFERROR(O791/K791,)</f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>IFERROR(O792/K792,)</f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>IFERROR(O793/K793,)</f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2977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2978</v>
      </c>
      <c r="Y793" s="2" t="s">
        <v>2979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0">15000/7</f>
        <v>2142.8571428571427</v>
      </c>
      <c r="I794" s="6">
        <f>IFERROR(O794/K794,)</f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0"/>
        <v>2142.8571428571427</v>
      </c>
      <c r="I795" s="6">
        <f>IFERROR(O795/K795,)</f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2983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2984</v>
      </c>
      <c r="Y795" s="2" t="s">
        <v>2985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0"/>
        <v>2142.8571428571427</v>
      </c>
      <c r="I797" s="6">
        <f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0"/>
        <v>2142.8571428571427</v>
      </c>
      <c r="I798" s="6">
        <f>IFERROR(O798/K798,)</f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2992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2993</v>
      </c>
      <c r="Y798" s="2" t="s">
        <v>2994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0"/>
        <v>2142.8571428571427</v>
      </c>
      <c r="I799" s="6">
        <f>IFERROR(O799/K799,)</f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2998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2999</v>
      </c>
      <c r="Y799" s="2" t="s">
        <v>3000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>IFERROR(O800/K800,)</f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3003</v>
      </c>
      <c r="Y800" s="2" t="s">
        <v>3004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0"/>
        <v>2142.8571428571427</v>
      </c>
      <c r="I801" s="6">
        <f>IFERROR(O801/K801,)</f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3008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3009</v>
      </c>
      <c r="Y801" s="2" t="s">
        <v>3010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>IFERROR(O802/K802,)</f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2975</v>
      </c>
      <c r="Y802" s="2" t="s">
        <v>2976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3144</v>
      </c>
      <c r="F803" s="13"/>
      <c r="G803" s="59"/>
      <c r="H803" s="6"/>
      <c r="I803" s="6">
        <f>IFERROR(O803/K803,)</f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>IFERROR(O804/K804,)</f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2980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2981</v>
      </c>
      <c r="Y804" s="2" t="s">
        <v>2982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2986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2987</v>
      </c>
      <c r="Y806" s="2" t="s">
        <v>2988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2989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2990</v>
      </c>
      <c r="Y807" s="2" t="s">
        <v>2991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2995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2996</v>
      </c>
      <c r="Y809" s="2" t="s">
        <v>2997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>IFERROR(O810/K810,)</f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3001</v>
      </c>
      <c r="Y810" s="2" t="s">
        <v>3002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>IFERROR(O811/K811,)</f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3005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3006</v>
      </c>
      <c r="Y811" s="2" t="s">
        <v>3007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>IFERROR(O812/K812,)</f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3064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3065</v>
      </c>
      <c r="Y812" s="2" t="s">
        <v>3066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3144</v>
      </c>
      <c r="F813" s="13"/>
      <c r="G813" s="59"/>
      <c r="H813" s="6"/>
      <c r="I813" s="6">
        <f>IFERROR(O813/K813,)</f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>IFERROR(O814/K814,)</f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3071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3072</v>
      </c>
      <c r="Y814" s="2" t="s">
        <v>3073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3077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3078</v>
      </c>
      <c r="Y816" s="2" t="s">
        <v>3079</v>
      </c>
      <c r="Z816" s="2">
        <v>2.7</v>
      </c>
      <c r="AA816" s="2">
        <v>0.01</v>
      </c>
      <c r="AB816" s="2" t="s">
        <v>3080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1">15000/6</f>
        <v>2500</v>
      </c>
      <c r="I817" s="6">
        <f>IFERROR(O817/K817,)</f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3084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3085</v>
      </c>
      <c r="Y817" s="2" t="s">
        <v>3086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1"/>
        <v>2500</v>
      </c>
      <c r="I818" s="6">
        <f>IFERROR(O818/K818,)</f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3090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3091</v>
      </c>
      <c r="Y818" s="2" t="s">
        <v>3092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>IFERROR(O819/K819,)</f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3096</v>
      </c>
      <c r="Y819" s="2" t="s">
        <v>3097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1"/>
        <v>2500</v>
      </c>
      <c r="I820" s="6">
        <f>IFERROR(O820/K820,)</f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3101</v>
      </c>
      <c r="Y820" s="2" t="s">
        <v>3102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>IFERROR(O821/K821,)</f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2998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3062</v>
      </c>
      <c r="Y821" s="2" t="s">
        <v>3063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3144</v>
      </c>
      <c r="F822" s="13"/>
      <c r="G822" s="59"/>
      <c r="H822" s="6"/>
      <c r="I822" s="6">
        <f>IFERROR(O822/K822,)</f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>IFERROR(O823/K823,)</f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3067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3068</v>
      </c>
      <c r="Y823" s="2" t="s">
        <v>3069</v>
      </c>
      <c r="Z823" s="2">
        <v>1.6</v>
      </c>
      <c r="AA823" s="2" t="s">
        <v>548</v>
      </c>
      <c r="AB823" s="2" t="s">
        <v>3070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3074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3075</v>
      </c>
      <c r="Y825" s="2" t="s">
        <v>3076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2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3081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3082</v>
      </c>
      <c r="Y826" s="2" t="s">
        <v>3083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2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3087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3088</v>
      </c>
      <c r="Y827" s="2" t="s">
        <v>3089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3093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3094</v>
      </c>
      <c r="Y828" s="2" t="s">
        <v>3095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2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3098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3099</v>
      </c>
      <c r="Y829" s="2" t="s">
        <v>3100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3105</v>
      </c>
      <c r="Y831" s="2" t="s">
        <v>3104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3144</v>
      </c>
      <c r="F832" s="13"/>
      <c r="G832" s="59"/>
      <c r="H832" s="6"/>
      <c r="I832" s="6">
        <f>IFERROR(O832/K832,)</f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2:H838" si="3">15000/6</f>
        <v>2500</v>
      </c>
      <c r="I833" s="6">
        <f>IFERROR(O833/K833,)</f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3109</v>
      </c>
      <c r="O833" s="85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3110</v>
      </c>
      <c r="Y833" s="2" t="s">
        <v>3111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3"/>
        <v>2500</v>
      </c>
      <c r="I834" s="6">
        <f>IFERROR(O834/K834,)</f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3118</v>
      </c>
      <c r="O834" s="85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3119</v>
      </c>
      <c r="Y834" s="2" t="s">
        <v>3120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3"/>
        <v>2500</v>
      </c>
      <c r="I835" s="6">
        <f>IFERROR(O835/K835,)</f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3124</v>
      </c>
      <c r="O835" s="85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3125</v>
      </c>
      <c r="Y835" s="2" t="s">
        <v>3126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3"/>
        <v>2500</v>
      </c>
      <c r="I836" s="6">
        <f>IFERROR(O836/K836,)</f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3130</v>
      </c>
      <c r="O836" s="85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3131</v>
      </c>
      <c r="Y836" s="2" t="s">
        <v>3132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>IFERROR(O837/K837,)</f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85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3136</v>
      </c>
      <c r="Y837" s="2" t="s">
        <v>3137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3"/>
        <v>2500</v>
      </c>
      <c r="I838" s="6">
        <f>IFERROR(O838/K838,)</f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85">
        <v>3535</v>
      </c>
      <c r="P838" s="2">
        <v>3.88</v>
      </c>
      <c r="Q838" s="2">
        <v>12.15</v>
      </c>
      <c r="R838" s="2" t="s">
        <v>3141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3142</v>
      </c>
      <c r="Y838" s="2" t="s">
        <v>3143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>IFERROR(O839/K839,)</f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3103</v>
      </c>
      <c r="Y839" s="2" t="s">
        <v>3104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3144</v>
      </c>
      <c r="F840" s="13"/>
      <c r="G840" s="59"/>
      <c r="H840" s="6"/>
      <c r="I840" s="6">
        <f>IFERROR(O840/K840,)</f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4">15000/5</f>
        <v>3000</v>
      </c>
      <c r="I841" s="6">
        <f>IFERROR(O841/K841,)</f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3106</v>
      </c>
      <c r="O841" s="85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3107</v>
      </c>
      <c r="Y841" s="2" t="s">
        <v>3108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4"/>
        <v>3000</v>
      </c>
      <c r="I842" s="6">
        <f>IFERROR(O842/K842,)</f>
        <v>278.55072463768113</v>
      </c>
      <c r="J842" s="2">
        <v>7.5</v>
      </c>
      <c r="K842" s="2">
        <v>6.9</v>
      </c>
      <c r="L842" s="2">
        <v>0.6</v>
      </c>
      <c r="M842" s="2" t="s">
        <v>3114</v>
      </c>
      <c r="N842" s="2" t="s">
        <v>3115</v>
      </c>
      <c r="O842" s="85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3116</v>
      </c>
      <c r="Y842" s="2" t="s">
        <v>3117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4"/>
        <v>3000</v>
      </c>
      <c r="I843" s="6">
        <f>IFERROR(O843/K843,)</f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3121</v>
      </c>
      <c r="O843" s="85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3122</v>
      </c>
      <c r="Y843" s="2" t="s">
        <v>3123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4"/>
        <v>3000</v>
      </c>
      <c r="I844" s="6">
        <f>IFERROR(O844/K844,)</f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3129</v>
      </c>
      <c r="O844" s="85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3127</v>
      </c>
      <c r="Y844" s="2" t="s">
        <v>3128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>IFERROR(O845/K845,)</f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3135</v>
      </c>
      <c r="O845" s="85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3133</v>
      </c>
      <c r="Y845" s="2" t="s">
        <v>3134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4"/>
        <v>3000</v>
      </c>
      <c r="I846" s="6">
        <f>IFERROR(O846/K846,)</f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3138</v>
      </c>
      <c r="O846" s="85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3139</v>
      </c>
      <c r="Y846" s="2" t="s">
        <v>3140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>IFERROR(O847/K847,)</f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3103</v>
      </c>
      <c r="Y847" s="2" t="s">
        <v>3104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>IFERROR(O848/K848,)</f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>IFERROR(O849/K849,)</f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>IFERROR(O850/K850,)</f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85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3112</v>
      </c>
      <c r="Y850" s="2" t="s">
        <v>3113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>IFERROR(O851/K851,)</f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85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>IFERROR(O852/K852,)</f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85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3127</v>
      </c>
      <c r="Y852" s="2" t="s">
        <v>3128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>IFERROR(O853/K853,)</f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85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3133</v>
      </c>
      <c r="Y853" s="2" t="s">
        <v>3134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>IFERROR(O854/K854,)</f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85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x14ac:dyDescent="0.25">
      <c r="A856" s="4"/>
      <c r="B856" s="8"/>
      <c r="C856" s="8"/>
      <c r="D856" s="7"/>
      <c r="E856" s="7"/>
      <c r="F856" s="13"/>
      <c r="G856" s="59"/>
      <c r="H856" s="6"/>
      <c r="I856" s="6"/>
      <c r="J856" s="2"/>
      <c r="K856" s="2"/>
      <c r="L856" s="2"/>
      <c r="M856" s="2"/>
      <c r="N856" s="2"/>
      <c r="O856" s="77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x14ac:dyDescent="0.25">
      <c r="A857" s="4"/>
      <c r="B857" s="8"/>
      <c r="C857" s="8"/>
      <c r="D857" s="7"/>
      <c r="E857" s="7"/>
      <c r="F857" s="13"/>
      <c r="G857" s="59"/>
      <c r="H857" s="6"/>
      <c r="I857" s="6"/>
      <c r="J857" s="2"/>
      <c r="K857" s="2"/>
      <c r="L857" s="2"/>
      <c r="M857" s="2"/>
      <c r="N857" s="2"/>
      <c r="O857" s="77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x14ac:dyDescent="0.25">
      <c r="A858" s="4"/>
      <c r="B858" s="8"/>
      <c r="C858" s="8"/>
      <c r="D858" s="7"/>
      <c r="E858" s="7"/>
      <c r="F858" s="13"/>
      <c r="G858" s="59"/>
      <c r="H858" s="6"/>
      <c r="I858" s="6"/>
      <c r="J858" s="2"/>
      <c r="K858" s="2"/>
      <c r="L858" s="2"/>
      <c r="M858" s="2"/>
      <c r="N858" s="2"/>
      <c r="O858" s="77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3011</v>
      </c>
      <c r="R1" t="s">
        <v>3012</v>
      </c>
      <c r="S1" t="s">
        <v>3013</v>
      </c>
      <c r="T1" t="s">
        <v>3014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3011</v>
      </c>
      <c r="B3" s="15" t="s">
        <v>3013</v>
      </c>
      <c r="C3" s="15" t="s">
        <v>3012</v>
      </c>
      <c r="D3" t="s">
        <v>3015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 s="86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 s="86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 s="86">
        <v>5</v>
      </c>
      <c r="Q6" s="18" t="s">
        <v>3016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 s="86">
        <v>6</v>
      </c>
    </row>
    <row r="8" spans="1:20" x14ac:dyDescent="0.2">
      <c r="A8" s="12">
        <v>46247</v>
      </c>
      <c r="B8" s="15">
        <v>15000</v>
      </c>
      <c r="C8" s="15">
        <v>12708</v>
      </c>
      <c r="D8" s="86">
        <v>6</v>
      </c>
    </row>
    <row r="9" spans="1:20" x14ac:dyDescent="0.2">
      <c r="A9" s="12">
        <v>46246</v>
      </c>
      <c r="B9" s="15">
        <v>15000</v>
      </c>
      <c r="C9" s="15">
        <v>12153</v>
      </c>
      <c r="D9" s="86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 s="86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 s="86">
        <v>7</v>
      </c>
    </row>
    <row r="12" spans="1:20" hidden="1" x14ac:dyDescent="0.2">
      <c r="A12" s="10" t="s">
        <v>3016</v>
      </c>
      <c r="B12" s="15">
        <v>90000.000000000015</v>
      </c>
      <c r="C12" s="15">
        <v>61676</v>
      </c>
      <c r="D12" s="86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3011</v>
      </c>
      <c r="B3" t="s">
        <v>3013</v>
      </c>
      <c r="C3" t="s">
        <v>3017</v>
      </c>
      <c r="O3" s="9" t="s">
        <v>3011</v>
      </c>
      <c r="P3" t="s">
        <v>3013</v>
      </c>
      <c r="Q3" t="s">
        <v>3017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6">
        <v>12</v>
      </c>
      <c r="Q4" s="86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6">
        <v>12</v>
      </c>
      <c r="Q5" s="86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6">
        <v>12</v>
      </c>
      <c r="Q6" s="8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6">
        <v>12</v>
      </c>
      <c r="Q7" s="86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3018</v>
      </c>
      <c r="P8" s="86"/>
      <c r="Q8" s="86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3016</v>
      </c>
      <c r="P9" s="86">
        <v>48</v>
      </c>
      <c r="Q9" s="86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3016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3019</v>
      </c>
      <c r="G3" s="17" t="s">
        <v>3020</v>
      </c>
      <c r="H3" s="17" t="s">
        <v>3021</v>
      </c>
      <c r="I3" s="17" t="s">
        <v>3022</v>
      </c>
      <c r="J3" s="17" t="s">
        <v>3023</v>
      </c>
      <c r="K3" s="17" t="s">
        <v>3024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3025</v>
      </c>
    </row>
    <row r="5" spans="6:11" x14ac:dyDescent="0.2">
      <c r="F5" s="17">
        <v>116</v>
      </c>
      <c r="H5" s="17">
        <v>110</v>
      </c>
      <c r="J5" s="17" t="s">
        <v>3026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3027</v>
      </c>
    </row>
    <row r="3" spans="1:17" x14ac:dyDescent="0.2">
      <c r="A3" s="25" t="s">
        <v>7</v>
      </c>
      <c r="B3" s="25" t="s">
        <v>3028</v>
      </c>
      <c r="C3" s="25" t="s">
        <v>3029</v>
      </c>
      <c r="D3" s="25" t="s">
        <v>3030</v>
      </c>
      <c r="E3" s="25" t="s">
        <v>3031</v>
      </c>
      <c r="F3" s="25" t="s">
        <v>3032</v>
      </c>
      <c r="H3" s="22" t="s">
        <v>3032</v>
      </c>
      <c r="I3" s="22" t="s">
        <v>3028</v>
      </c>
      <c r="J3" s="22" t="s">
        <v>3029</v>
      </c>
      <c r="K3" s="22" t="s">
        <v>3031</v>
      </c>
      <c r="L3" s="22" t="s">
        <v>3033</v>
      </c>
      <c r="M3" s="25" t="s">
        <v>3034</v>
      </c>
      <c r="O3" s="25" t="s">
        <v>7</v>
      </c>
      <c r="P3" s="25" t="s">
        <v>3031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3035</v>
      </c>
      <c r="H4" s="28" t="s">
        <v>3035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3035</v>
      </c>
      <c r="H5" s="28" t="s">
        <v>3036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3035</v>
      </c>
      <c r="H6" s="28" t="s">
        <v>3037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3035</v>
      </c>
      <c r="H7" s="28" t="s">
        <v>3038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3035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3035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3035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3035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3035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3035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3036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3036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3036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3036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3036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3036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3036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3037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3037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3037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3037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3037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3037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3037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3037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3037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3037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3037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3037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3037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3038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3038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3038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3038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3038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3038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3038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3038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3038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3038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3038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3038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3038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3038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3038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3038</v>
      </c>
    </row>
    <row r="50" spans="1:6" x14ac:dyDescent="0.2">
      <c r="A50" s="84" t="s">
        <v>3039</v>
      </c>
      <c r="B50" s="84"/>
      <c r="C50" s="84"/>
      <c r="E50" s="23">
        <f>SUM(E4:E49)</f>
        <v>12900</v>
      </c>
    </row>
    <row r="56" spans="1:6" ht="15.75" x14ac:dyDescent="0.25">
      <c r="A56" s="34" t="s">
        <v>3040</v>
      </c>
    </row>
    <row r="57" spans="1:6" ht="25.5" x14ac:dyDescent="0.2">
      <c r="A57" s="35" t="s">
        <v>3041</v>
      </c>
      <c r="B57" s="36" t="s">
        <v>3042</v>
      </c>
      <c r="C57" s="36" t="s">
        <v>3043</v>
      </c>
      <c r="D57" s="36" t="s">
        <v>3044</v>
      </c>
    </row>
    <row r="58" spans="1:6" x14ac:dyDescent="0.2">
      <c r="A58" s="40" t="s">
        <v>3045</v>
      </c>
      <c r="B58" s="37">
        <v>108384.01</v>
      </c>
      <c r="C58" s="37"/>
      <c r="D58" s="37">
        <v>108384.01</v>
      </c>
    </row>
    <row r="59" spans="1:6" x14ac:dyDescent="0.2">
      <c r="A59" s="40" t="s">
        <v>3046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3047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3048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3049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3050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3051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3052</v>
      </c>
      <c r="B65" s="37">
        <v>23860.793000000001</v>
      </c>
      <c r="C65" s="37"/>
      <c r="D65" s="37"/>
    </row>
    <row r="66" spans="1:4" x14ac:dyDescent="0.2">
      <c r="A66" s="40" t="s">
        <v>3053</v>
      </c>
      <c r="B66" s="37">
        <v>1344.431</v>
      </c>
      <c r="C66" s="37"/>
      <c r="D66" s="37"/>
    </row>
    <row r="67" spans="1:4" x14ac:dyDescent="0.2">
      <c r="A67" s="38" t="s">
        <v>3039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3054</v>
      </c>
      <c r="E2" s="48" t="s">
        <v>3055</v>
      </c>
      <c r="F2" s="48" t="s">
        <v>3056</v>
      </c>
      <c r="G2" s="48" t="s">
        <v>3057</v>
      </c>
      <c r="H2" s="48" t="s">
        <v>3058</v>
      </c>
      <c r="I2" s="48" t="s">
        <v>3059</v>
      </c>
      <c r="J2" s="48" t="s">
        <v>3060</v>
      </c>
      <c r="K2" s="48" t="s">
        <v>3061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2026-08-17T14:44:36Z</dcterms:modified>
  <cp:category/>
  <cp:contentStatus/>
</cp:coreProperties>
</file>