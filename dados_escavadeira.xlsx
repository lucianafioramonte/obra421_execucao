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namedSheetViews/namedSheetView1.xml" ContentType="application/vnd.ms-excel.namedsheetview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6056" documentId="8_{CE5C6F22-4BE2-41D0-BCDC-905D26C0C4E3}" xr6:coauthVersionLast="47" xr6:coauthVersionMax="47" xr10:uidLastSave="{05F862DC-1E3E-4330-9657-EE8A9A7D5B71}"/>
  <bookViews>
    <workbookView xWindow="-120" yWindow="-120" windowWidth="20730" windowHeight="11040" tabRatio="678" activeTab="2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BD!$A$4:$AB$731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 iterateDelta="1E-4"/>
  <pivotCaches>
    <pivotCache cacheId="93" r:id="rId9"/>
    <pivotCache cacheId="99" r:id="rId10"/>
    <pivotCache cacheId="104" r:id="rId11"/>
    <pivotCache cacheId="108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79" i="1" l="1"/>
  <c r="H677" i="1"/>
  <c r="H676" i="1"/>
  <c r="H675" i="1"/>
  <c r="H674" i="1"/>
  <c r="H672" i="1"/>
  <c r="H722" i="1"/>
  <c r="H718" i="1"/>
  <c r="H716" i="1"/>
  <c r="H714" i="1"/>
  <c r="H712" i="1"/>
  <c r="H708" i="1"/>
  <c r="H706" i="1"/>
  <c r="H723" i="1"/>
  <c r="H719" i="1"/>
  <c r="H717" i="1"/>
  <c r="H715" i="1"/>
  <c r="H711" i="1"/>
  <c r="H707" i="1"/>
  <c r="H704" i="1"/>
  <c r="H702" i="1"/>
  <c r="H700" i="1"/>
  <c r="H699" i="1"/>
  <c r="H696" i="1"/>
  <c r="H695" i="1"/>
  <c r="H693" i="1"/>
  <c r="H692" i="1"/>
  <c r="H691" i="1"/>
  <c r="H688" i="1"/>
  <c r="H687" i="1"/>
  <c r="H685" i="1"/>
  <c r="H684" i="1"/>
  <c r="H683" i="1"/>
  <c r="H680" i="1"/>
  <c r="H730" i="1"/>
  <c r="H721" i="1"/>
  <c r="H720" i="1"/>
  <c r="H703" i="1"/>
  <c r="H694" i="1"/>
  <c r="H686" i="1"/>
  <c r="H678" i="1"/>
  <c r="I724" i="1"/>
  <c r="I725" i="1"/>
  <c r="I726" i="1"/>
  <c r="I727" i="1"/>
  <c r="I728" i="1"/>
  <c r="I729" i="1"/>
  <c r="I730" i="1"/>
  <c r="I731" i="1"/>
  <c r="I722" i="1"/>
  <c r="I723" i="1"/>
  <c r="I720" i="1"/>
  <c r="I721" i="1"/>
  <c r="I718" i="1"/>
  <c r="I719" i="1"/>
  <c r="I716" i="1"/>
  <c r="I717" i="1"/>
  <c r="I714" i="1"/>
  <c r="I715" i="1"/>
  <c r="I712" i="1"/>
  <c r="I713" i="1"/>
  <c r="I708" i="1"/>
  <c r="I709" i="1"/>
  <c r="I710" i="1"/>
  <c r="I711" i="1"/>
  <c r="I706" i="1"/>
  <c r="I707" i="1"/>
  <c r="O704" i="1"/>
  <c r="O705" i="1"/>
  <c r="I705" i="1" s="1"/>
  <c r="I704" i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<sst xmlns="http://schemas.openxmlformats.org/spreadsheetml/2006/main" count="9217" uniqueCount="2732">
  <si>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</si>
  <si>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</si>
  <si>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</si>
  <si>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</si>
  <si>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</si>
  <si>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</si>
  <si>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</si>
  <si>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</si>
  <si>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</si>
  <si>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</si>
  <si>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</si>
  <si>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</si>
  <si>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</si>
  <si>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</si>
  <si>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</si>
  <si>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</si>
  <si>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</si>
  <si>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</si>
  <si>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</si>
  <si>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</si>
  <si>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</si>
  <si>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</si>
  <si>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</si>
  <si>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</si>
  <si>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</si>
  <si>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</si>
  <si>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</si>
  <si>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</si>
  <si>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</si>
  <si>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</si>
  <si>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</si>
  <si>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</si>
  <si>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</si>
  <si>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</si>
  <si>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</si>
  <si>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</si>
  <si>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</si>
  <si>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</si>
  <si>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</si>
  <si>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</si>
  <si>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</si>
  <si>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</si>
  <si>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</si>
  <si>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</si>
  <si>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</si>
  <si>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</si>
  <si>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</si>
  <si>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</si>
  <si>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</si>
  <si>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</si>
  <si>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</si>
  <si>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</si>
  <si>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</si>
  <si>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</si>
  <si>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</si>
  <si>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</si>
  <si>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</si>
  <si>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</si>
  <si>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</si>
  <si>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</si>
  <si>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</si>
  <si>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</si>
  <si>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</si>
  <si>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</si>
  <si>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</si>
  <si>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</si>
  <si>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</si>
  <si>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</si>
  <si>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</si>
  <si>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</si>
  <si>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</si>
  <si>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</si>
  <si>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</si>
  <si>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</si>
  <si>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</si>
  <si>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</si>
  <si>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</si>
  <si>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</si>
  <si>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</si>
  <si>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</si>
  <si>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</si>
  <si>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</si>
  <si>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</si>
  <si>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</si>
  <si>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</si>
  <si>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</si>
  <si>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</si>
  <si>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</si>
  <si>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</si>
  <si>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</si>
  <si>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</si>
  <si>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</si>
  <si>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</si>
  <si>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</si>
  <si>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</si>
  <si>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</si>
  <si>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</si>
  <si>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</si>
  <si>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</si>
  <si>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</si>
  <si>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</si>
  <si>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</si>
  <si>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</si>
  <si>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</si>
  <si>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</si>
  <si>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</si>
  <si>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</si>
  <si>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</si>
  <si>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</si>
  <si>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</si>
  <si>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</si>
  <si>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</si>
  <si>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</si>
  <si>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</si>
  <si>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</si>
  <si>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</si>
  <si>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</si>
  <si>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</si>
  <si>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</si>
  <si>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</si>
  <si>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</si>
  <si>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</si>
  <si>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</si>
  <si>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</si>
  <si>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</si>
  <si>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</si>
  <si>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</si>
  <si>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</si>
  <si>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</si>
  <si>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</si>
  <si>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</si>
  <si>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</si>
  <si>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</si>
  <si>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</si>
  <si>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</si>
  <si>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</si>
  <si>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</si>
  <si>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</si>
  <si>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</si>
  <si>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</si>
  <si>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</si>
  <si>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</si>
  <si>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</si>
  <si>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</si>
  <si>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</si>
  <si>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</si>
  <si>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</si>
  <si>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</si>
  <si>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</si>
  <si>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</si>
  <si>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</si>
  <si>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</si>
  <si>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</si>
  <si>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</si>
  <si>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</si>
  <si>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</si>
  <si>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</si>
  <si>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</si>
  <si>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</si>
  <si>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</si>
  <si>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</si>
  <si>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</si>
  <si>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</si>
  <si>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</si>
  <si>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</si>
  <si>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</si>
  <si>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</si>
  <si>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</si>
  <si>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</si>
  <si>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</si>
  <si>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</si>
  <si>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</si>
  <si>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</si>
  <si>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</si>
  <si>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</si>
  <si>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</si>
  <si>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</si>
  <si>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</si>
  <si>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</si>
  <si>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</si>
  <si>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</si>
  <si>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</si>
  <si>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</si>
  <si>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</si>
  <si>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</si>
  <si>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</si>
  <si>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</si>
  <si>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</si>
  <si>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</si>
  <si>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</si>
  <si>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</si>
  <si>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</si>
  <si>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</si>
  <si>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</si>
  <si>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</si>
  <si>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</si>
  <si>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</si>
  <si>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</si>
  <si>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</si>
  <si>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</si>
  <si>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</si>
  <si>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</si>
  <si>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</si>
  <si>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</si>
  <si>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</si>
  <si>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</si>
  <si>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</si>
  <si>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</si>
  <si>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</si>
  <si>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</si>
  <si>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</si>
  <si>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</si>
  <si>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</si>
  <si>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</si>
  <si>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</si>
  <si>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</si>
  <si>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</si>
  <si>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</si>
  <si>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</si>
  <si>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</si>
  <si>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</si>
  <si>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</si>
  <si>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</si>
  <si>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</si>
  <si>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</si>
  <si>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</si>
  <si>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</si>
  <si>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</si>
  <si>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</si>
  <si>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</si>
  <si>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</si>
  <si>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</si>
  <si>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</si>
  <si>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</si>
  <si>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</si>
  <si>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</si>
  <si>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</si>
  <si>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</si>
  <si>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</si>
  <si>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</si>
  <si>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</si>
  <si>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</si>
  <si>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</si>
  <si>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</si>
  <si>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</si>
  <si>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</si>
  <si>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</si>
  <si>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</si>
  <si>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</si>
  <si>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</si>
  <si>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</si>
  <si>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</si>
  <si>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</si>
  <si>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</si>
  <si>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</si>
  <si>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</si>
  <si>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</si>
  <si>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</si>
  <si>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</si>
  <si>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</si>
  <si>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</si>
  <si>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</si>
  <si>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</si>
  <si>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</si>
  <si>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</si>
  <si>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</si>
  <si>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</si>
  <si>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</si>
  <si>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</si>
  <si>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</si>
  <si>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</si>
  <si>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</si>
  <si>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</si>
  <si>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</si>
  <si>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</si>
  <si>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</si>
  <si>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</si>
  <si>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</si>
  <si>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</si>
  <si>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</si>
  <si>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</si>
  <si>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</si>
  <si>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</si>
  <si>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</si>
  <si>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</si>
  <si>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</si>
  <si>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</si>
  <si>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</si>
  <si>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</si>
  <si>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</si>
  <si>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</si>
  <si>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</si>
  <si>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</si>
  <si>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</si>
  <si>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</si>
  <si>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</si>
  <si>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</si>
  <si>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</si>
  <si>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</si>
  <si>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</si>
  <si>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</si>
  <si>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</si>
  <si>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</si>
  <si>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</si>
  <si>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</si>
  <si>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</si>
  <si>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</si>
  <si>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</si>
  <si>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</si>
  <si>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</si>
  <si>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</si>
  <si>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</si>
  <si>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</si>
  <si>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</si>
  <si>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</si>
  <si>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</si>
  <si>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</si>
  <si>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</si>
  <si>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</si>
  <si>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</si>
  <si>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</si>
  <si>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</si>
  <si>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</si>
  <si>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</si>
  <si>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</si>
  <si>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</si>
  <si>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</si>
  <si>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</si>
  <si>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</si>
  <si>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</si>
  <si>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</si>
  <si>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</si>
  <si>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</si>
  <si>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</si>
  <si>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</si>
  <si>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</si>
  <si>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</si>
  <si>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</si>
  <si>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</si>
  <si>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</si>
  <si>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</si>
  <si>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</si>
  <si>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</si>
  <si>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</si>
  <si>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</si>
  <si>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</si>
  <si>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</si>
  <si>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</si>
  <si>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</si>
  <si>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</si>
  <si>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</si>
  <si>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</si>
  <si>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</si>
  <si>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</si>
  <si>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</si>
  <si>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</si>
  <si>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</si>
  <si>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</si>
  <si>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</si>
  <si>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</si>
  <si>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</si>
  <si>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</si>
  <si>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</si>
  <si>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</si>
  <si>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</si>
  <si>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</si>
  <si>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</si>
  <si>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</si>
  <si>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</si>
  <si>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</si>
  <si>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</si>
  <si>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</si>
  <si>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</si>
  <si>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</si>
  <si>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</si>
  <si>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</si>
  <si>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</si>
  <si>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</si>
  <si>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</si>
  <si>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</si>
  <si>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</si>
  <si>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</si>
  <si>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</si>
  <si>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</si>
  <si>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</si>
  <si>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</si>
  <si>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</si>
  <si>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</si>
  <si>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</si>
  <si>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</si>
  <si>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</si>
  <si>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</si>
  <si>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</si>
  <si>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</si>
  <si>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</si>
  <si>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</si>
  <si>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</si>
  <si>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</si>
  <si>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</si>
  <si>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</si>
  <si>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</si>
  <si>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</si>
  <si>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</si>
  <si>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</si>
  <si>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</si>
  <si>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</si>
  <si>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</si>
  <si>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</si>
  <si>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</si>
  <si>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</si>
  <si>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</si>
  <si>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</si>
  <si>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</si>
  <si>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</si>
  <si>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</si>
  <si>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</si>
  <si>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</si>
  <si>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</si>
  <si>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</si>
  <si>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</si>
  <si>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</si>
  <si>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</si>
  <si>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</si>
  <si>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</si>
  <si>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</si>
  <si>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</si>
  <si>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</si>
  <si>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</si>
  <si>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</si>
  <si>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</si>
  <si>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</si>
  <si>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</si>
  <si>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</si>
  <si>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</si>
  <si>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</si>
  <si>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</si>
  <si>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</si>
  <si>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</si>
  <si>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</si>
  <si>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</si>
  <si>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</si>
  <si>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</si>
  <si>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</si>
  <si>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</si>
  <si>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</si>
  <si>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</si>
  <si>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</si>
  <si>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</si>
  <si>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</si>
  <si>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</si>
  <si>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</si>
  <si>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</si>
  <si>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</si>
  <si>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</si>
  <si>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</si>
  <si>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</si>
  <si>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</si>
  <si>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</si>
  <si>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</si>
  <si>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</si>
  <si>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</si>
  <si>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</si>
  <si>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</si>
  <si>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</si>
  <si>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</si>
  <si>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</si>
  <si>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</si>
  <si>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</si>
  <si>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</si>
  <si>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</si>
  <si>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</si>
  <si>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</si>
  <si>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</si>
  <si>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</si>
  <si>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</si>
  <si>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</si>
  <si>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</si>
  <si>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</si>
  <si>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</si>
  <si>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</si>
  <si>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</si>
  <si>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</si>
  <si>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</si>
  <si>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</si>
  <si>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</si>
  <si>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</si>
  <si>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</si>
  <si>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</si>
  <si>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</si>
  <si>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</si>
  <si>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</si>
  <si>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</si>
  <si>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</si>
  <si>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</si>
  <si>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</si>
  <si>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</si>
  <si>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</si>
  <si>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</si>
  <si>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</si>
  <si>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</si>
  <si>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</si>
  <si>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</si>
  <si>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</si>
  <si>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</si>
  <si>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</si>
  <si>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</si>
  <si>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</si>
  <si>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</si>
  <si>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</si>
  <si>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</si>
  <si>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</si>
  <si>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</si>
  <si>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</si>
  <si>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</si>
  <si>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</si>
  <si>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</si>
  <si>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</si>
  <si>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</si>
  <si>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</si>
  <si>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</si>
  <si>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</si>
  <si>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</si>
  <si>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</si>
  <si>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</si>
  <si>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</si>
  <si>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</si>
  <si>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</si>
  <si>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</si>
  <si>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</si>
  <si>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</si>
  <si>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</si>
  <si>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</si>
  <si>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</si>
  <si>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</si>
  <si>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</si>
  <si>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</si>
  <si>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</si>
  <si>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</si>
  <si>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</si>
  <si>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</si>
  <si>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</si>
  <si>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</si>
  <si>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</si>
  <si>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</si>
  <si>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</si>
  <si>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</si>
  <si>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</si>
  <si>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</si>
  <si>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</si>
  <si>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</si>
  <si>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</si>
  <si>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</si>
  <si>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</si>
  <si>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</si>
  <si>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</si>
  <si>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</si>
  <si>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</si>
  <si>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</si>
  <si>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</si>
  <si>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</si>
  <si>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</si>
  <si>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</si>
  <si>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</si>
  <si>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</si>
  <si>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</si>
  <si>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</si>
  <si>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</si>
  <si>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</si>
  <si>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</si>
  <si>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</si>
  <si>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</si>
  <si>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</si>
  <si>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</si>
  <si>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</si>
  <si>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</si>
  <si>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</si>
  <si>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</si>
  <si>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</si>
  <si>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</si>
  <si>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</si>
  <si>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</si>
  <si>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</si>
  <si>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</si>
  <si>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</si>
  <si>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</si>
  <si>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</si>
  <si>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</si>
  <si>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</si>
  <si>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</si>
  <si>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</si>
  <si>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</si>
  <si>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</si>
  <si>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</si>
  <si>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</si>
  <si>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</si>
  <si>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</si>
  <si>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</si>
  <si>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</si>
  <si>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</si>
  <si>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</si>
  <si>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</si>
  <si>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</si>
  <si>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</si>
  <si>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</si>
  <si>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</si>
  <si>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</si>
  <si>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</si>
  <si>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</si>
  <si>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</si>
  <si>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</si>
  <si>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</si>
  <si>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</si>
  <si>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</si>
  <si>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</si>
  <si>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</si>
  <si>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</si>
  <si>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</si>
  <si>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</si>
  <si>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</si>
  <si>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</si>
  <si>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</si>
  <si>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</si>
  <si>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</si>
  <si>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</si>
  <si>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</si>
  <si>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</si>
  <si>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</si>
  <si>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</si>
  <si>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</si>
  <si>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</si>
  <si>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</si>
  <si>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</si>
  <si>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</si>
  <si>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</si>
  <si>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</si>
  <si>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</si>
  <si>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</si>
  <si>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</si>
  <si>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</si>
  <si>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</si>
  <si>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</si>
  <si>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</si>
  <si>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</si>
  <si>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</si>
  <si>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</si>
  <si>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</si>
  <si>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</si>
  <si>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</si>
  <si>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</si>
  <si>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</si>
  <si>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</si>
  <si>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</si>
  <si>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</si>
  <si>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</si>
  <si>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</si>
  <si>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</si>
  <si>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</si>
  <si>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</si>
  <si>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</si>
  <si>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</si>
  <si>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</si>
  <si>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</si>
  <si>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</si>
  <si>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</si>
  <si>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</si>
  <si>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</si>
  <si>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</si>
  <si>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</si>
  <si>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</si>
  <si>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</si>
  <si>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</si>
  <si>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</si>
  <si>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</si>
  <si>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</si>
  <si>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</si>
  <si>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</si>
  <si>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</si>
  <si>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</si>
  <si>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</si>
  <si>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</si>
  <si>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</si>
  <si>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</si>
  <si>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</si>
  <si>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</si>
  <si>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</si>
  <si>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</si>
  <si>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</si>
  <si>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</si>
  <si>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</si>
  <si>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</si>
  <si>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</si>
  <si>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</si>
  <si>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</si>
  <si>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</si>
  <si>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</si>
  <si>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</si>
  <si>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</si>
  <si>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</si>
  <si>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</si>
  <si>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</si>
  <si>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</si>
  <si>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</si>
  <si>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</si>
  <si>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</si>
  <si>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</si>
  <si>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</si>
  <si>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</si>
  <si>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</si>
  <si>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</si>
  <si>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</si>
  <si>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</si>
  <si>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</si>
  <si>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</si>
  <si>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</si>
  <si>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</si>
  <si>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</si>
  <si>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</si>
  <si>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</si>
  <si>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</si>
  <si>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</si>
  <si>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</si>
  <si>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</si>
  <si>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</si>
  <si>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</si>
  <si>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</si>
  <si>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</si>
  <si>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</si>
  <si>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</si>
  <si>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</si>
  <si>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</si>
  <si>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</si>
  <si>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</si>
  <si>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</si>
  <si>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</si>
  <si>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</si>
  <si>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</si>
  <si>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</si>
  <si>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</si>
  <si>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</si>
  <si>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</si>
  <si>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</si>
  <si>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</si>
  <si>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</si>
  <si>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</si>
  <si>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</si>
  <si>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</si>
  <si>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</si>
  <si>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</si>
  <si>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</si>
  <si>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</si>
  <si>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</si>
  <si>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</si>
  <si>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</si>
  <si>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</si>
  <si>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</si>
  <si>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</si>
  <si>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</si>
  <si>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</si>
  <si>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</si>
  <si>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</si>
  <si>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</si>
  <si>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</si>
  <si>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</si>
  <si>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</si>
  <si>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</si>
  <si>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</si>
  <si>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</si>
  <si>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</si>
  <si>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</si>
  <si>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</si>
  <si>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</si>
  <si>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</si>
  <si>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</si>
  <si>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</si>
  <si>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</si>
  <si>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</si>
  <si>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</si>
  <si>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</si>
  <si>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</si>
  <si>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</si>
  <si>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</si>
  <si>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</si>
  <si>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</si>
  <si>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</si>
  <si>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</si>
  <si>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</si>
  <si>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</si>
  <si>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</si>
  <si>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</si>
  <si>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</si>
  <si>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</si>
  <si>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</si>
  <si>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</si>
  <si>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</si>
  <si>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</si>
  <si>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</si>
  <si>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</si>
  <si>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</si>
  <si>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</si>
  <si>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</si>
  <si>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</si>
  <si>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</si>
  <si>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</si>
  <si>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</si>
  <si>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</si>
  <si>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</si>
  <si>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</si>
  <si>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</si>
  <si>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</si>
  <si>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</si>
  <si>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</si>
  <si>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</si>
  <si>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</si>
  <si>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</si>
  <si>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</si>
  <si>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</si>
  <si>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</si>
  <si>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</si>
  <si>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</si>
  <si>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</si>
  <si>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</si>
  <si>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</si>
  <si>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</si>
  <si>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</si>
  <si>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</si>
  <si>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</si>
  <si>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</si>
  <si>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</si>
  <si>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</si>
  <si>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</si>
  <si>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</si>
  <si>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</si>
  <si>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</si>
  <si>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</si>
  <si>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</si>
  <si>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</si>
  <si>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</si>
  <si>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</si>
  <si>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</si>
  <si>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</si>
  <si>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</si>
  <si>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</si>
  <si>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</si>
  <si>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</si>
  <si>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</si>
  <si>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</si>
  <si>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</si>
  <si>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</si>
  <si>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</si>
  <si>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</si>
  <si>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</si>
  <si>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</si>
  <si>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</si>
  <si>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</si>
  <si>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</si>
  <si>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</si>
  <si>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</si>
  <si>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</si>
  <si>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</si>
  <si>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</si>
  <si>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</si>
  <si>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</si>
  <si>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</si>
  <si>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</si>
  <si>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</si>
  <si>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</si>
  <si>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</si>
  <si>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</si>
  <si>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</si>
  <si>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</si>
  <si>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</si>
  <si>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</si>
  <si>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</si>
  <si>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</si>
  <si>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</si>
  <si>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</si>
  <si>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</si>
  <si>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</si>
  <si>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</si>
  <si>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</si>
  <si>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</si>
  <si>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</si>
  <si>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</si>
  <si>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</si>
  <si>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</si>
  <si>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</si>
  <si>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</si>
  <si>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</si>
  <si>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</si>
  <si>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</si>
  <si>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</si>
  <si>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</si>
  <si>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</si>
  <si>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</si>
  <si>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</si>
  <si>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</si>
  <si>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</si>
  <si>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</si>
  <si>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</si>
  <si>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</si>
  <si>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</si>
  <si>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</si>
  <si>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</si>
  <si>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</si>
  <si>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</si>
  <si>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</si>
  <si>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</si>
  <si>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</si>
  <si>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</si>
  <si>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</si>
  <si>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</si>
  <si>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</si>
  <si>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</si>
  <si>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</si>
  <si>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</si>
  <si>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</si>
  <si>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</si>
  <si>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</si>
  <si>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</si>
  <si>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</si>
  <si>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</si>
  <si>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</si>
  <si>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</si>
  <si>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</si>
  <si>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</si>
  <si>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</si>
  <si>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</si>
  <si>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</si>
  <si>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</si>
  <si>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</si>
  <si>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</si>
  <si>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</si>
  <si>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</si>
  <si>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</si>
  <si>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</si>
  <si>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</si>
  <si>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</si>
  <si>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</si>
  <si>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</si>
  <si>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</si>
  <si>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</si>
  <si>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</si>
  <si>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</si>
  <si>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</si>
  <si>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</si>
  <si>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</si>
  <si>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</si>
  <si>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</si>
  <si>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</si>
  <si>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</si>
  <si>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</si>
  <si>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</si>
  <si>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</si>
  <si>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</si>
  <si>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</si>
  <si>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</si>
  <si>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</si>
  <si>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</si>
  <si>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</si>
  <si>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</si>
  <si>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</si>
  <si>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</si>
  <si>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</si>
  <si>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</si>
  <si>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</si>
  <si>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</si>
  <si>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</si>
  <si>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</si>
  <si>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</si>
  <si>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</si>
  <si>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</si>
  <si>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</si>
  <si>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</si>
  <si>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</si>
  <si>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</si>
  <si>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</si>
  <si>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</si>
  <si>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</si>
  <si>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</si>
  <si>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</si>
  <si>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</si>
  <si>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</si>
  <si>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</si>
  <si>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</si>
  <si>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</si>
  <si>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</si>
  <si>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</si>
  <si>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</si>
  <si>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</si>
  <si>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</si>
  <si>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</si>
  <si>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</si>
  <si>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</si>
  <si>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</si>
  <si>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</si>
  <si>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</si>
  <si>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</si>
  <si>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</si>
  <si>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</si>
  <si>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</si>
  <si>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</si>
  <si>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</si>
  <si>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</si>
  <si>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</si>
  <si>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</si>
  <si>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</si>
  <si>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</si>
  <si>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</si>
  <si>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</si>
  <si>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</si>
  <si>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</si>
  <si>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</si>
  <si>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</si>
  <si>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</si>
  <si>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</si>
  <si>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</si>
  <si>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</si>
  <si>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</si>
  <si>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</si>
  <si>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</si>
  <si>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</si>
  <si>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</si>
  <si>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</si>
  <si>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</si>
  <si>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</si>
  <si>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</si>
  <si>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</si>
  <si>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</si>
  <si>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</si>
  <si>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</si>
  <si>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</si>
  <si>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</si>
  <si>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</si>
  <si>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</si>
  <si>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</si>
  <si>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</si>
  <si>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</si>
  <si>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</si>
  <si>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</si>
  <si>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</si>
  <si>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</si>
  <si>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</si>
  <si>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</si>
  <si>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</si>
  <si>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</si>
  <si>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</si>
  <si>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</si>
  <si>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</si>
  <si>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</si>
  <si>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</si>
  <si>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</si>
  <si>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</si>
  <si>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</si>
  <si>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</si>
  <si>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</si>
  <si>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</si>
  <si>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</si>
  <si>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</si>
  <si>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</si>
  <si>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</si>
  <si>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</si>
  <si>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</si>
  <si>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</si>
  <si>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</si>
  <si>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</si>
  <si>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</si>
  <si>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</si>
  <si>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</si>
  <si>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</si>
  <si>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</si>
  <si>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</si>
  <si>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</si>
  <si>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</si>
  <si>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</si>
  <si>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</si>
  <si>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</si>
  <si>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</si>
  <si>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</si>
  <si>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</si>
  <si>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</si>
  <si>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</si>
  <si>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</si>
  <si>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</si>
  <si>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</si>
  <si>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</si>
  <si>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</si>
  <si>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</si>
  <si>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</si>
  <si>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</si>
  <si>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</si>
  <si>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</si>
  <si>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</si>
  <si>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</si>
  <si>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</si>
  <si>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</si>
  <si>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</si>
  <si>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</si>
  <si>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</si>
  <si>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</si>
  <si>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</si>
  <si>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</si>
  <si>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</si>
  <si>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</si>
  <si>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</si>
  <si>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</si>
  <si>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</si>
  <si>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</si>
  <si>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</si>
  <si>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</si>
  <si>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</si>
  <si>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</si>
  <si>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</si>
  <si>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</si>
  <si>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</si>
  <si>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</si>
  <si>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</si>
  <si>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</si>
  <si>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</si>
  <si>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</si>
  <si>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</si>
  <si>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</si>
  <si>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</si>
  <si>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</si>
  <si>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</si>
  <si>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</si>
  <si>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</si>
  <si>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</si>
  <si>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</si>
  <si>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</si>
  <si>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</si>
  <si>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</si>
  <si>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</si>
  <si>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</si>
  <si>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</si>
  <si>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</si>
  <si>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</si>
  <si>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</si>
  <si>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</si>
  <si>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</si>
  <si>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</si>
  <si>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</si>
  <si>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</si>
  <si>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</si>
  <si>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</si>
  <si>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</si>
  <si>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</si>
  <si>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</si>
  <si>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</si>
  <si>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</si>
  <si>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</si>
  <si>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</si>
  <si>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</si>
  <si>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</si>
  <si>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</si>
  <si>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</si>
  <si>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</si>
  <si>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</si>
  <si>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</si>
  <si>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</si>
  <si>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</si>
  <si>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</si>
  <si>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</si>
  <si>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</si>
  <si>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</si>
  <si>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</si>
  <si>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</si>
  <si>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</si>
  <si>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</si>
  <si>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</si>
  <si>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</si>
  <si>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</si>
  <si>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</si>
  <si>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</si>
  <si>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</si>
  <si>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</si>
  <si>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</si>
  <si>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</si>
  <si>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</si>
  <si>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</si>
  <si>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</si>
  <si>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</si>
  <si>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</si>
  <si>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</si>
  <si>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</si>
  <si>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</si>
  <si>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</si>
  <si>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</si>
  <si>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</si>
  <si>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</si>
  <si>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</si>
  <si>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</si>
  <si>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</si>
  <si>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</si>
  <si>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</si>
  <si>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</si>
  <si>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</si>
  <si>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</si>
  <si>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</si>
  <si>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</si>
  <si>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</si>
  <si>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</si>
  <si>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</si>
  <si>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</si>
  <si>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</si>
  <si>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</si>
  <si>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</si>
  <si>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</si>
  <si>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</si>
  <si>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</si>
  <si>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</si>
  <si>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</si>
  <si>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</si>
  <si>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</si>
  <si>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</si>
  <si>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</si>
  <si>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</si>
  <si>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</si>
  <si>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</si>
  <si>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</si>
  <si>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</si>
  <si>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</si>
  <si>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</si>
  <si>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</si>
  <si>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</si>
  <si>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</si>
  <si>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</si>
  <si>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</si>
  <si>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</si>
  <si>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</si>
  <si>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</si>
  <si>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</si>
  <si>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</si>
  <si>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</si>
  <si>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</si>
  <si>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</si>
  <si>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</si>
  <si>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</si>
  <si>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</si>
  <si>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</si>
  <si>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</si>
  <si>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</si>
  <si>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</si>
  <si>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</si>
  <si>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</si>
  <si>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</si>
  <si>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</si>
  <si>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</si>
  <si>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</si>
  <si>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</si>
  <si>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</si>
  <si>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</si>
  <si>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</si>
  <si>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</si>
  <si>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</si>
  <si>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</si>
  <si>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</si>
  <si>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</si>
  <si>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</si>
  <si>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</si>
  <si>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</si>
  <si>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</si>
  <si>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</si>
  <si>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</si>
  <si>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</si>
  <si>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</si>
  <si>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</si>
  <si>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</si>
  <si>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</si>
  <si>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</si>
  <si>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</si>
  <si>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</si>
  <si>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</si>
  <si>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</si>
  <si>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</si>
  <si>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</si>
  <si>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</si>
  <si>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</si>
  <si>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</si>
  <si>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</si>
  <si>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</si>
  <si>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</si>
  <si>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</si>
  <si>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</si>
  <si>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</si>
  <si>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</si>
  <si>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</si>
  <si>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</si>
  <si>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</si>
  <si>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</si>
  <si>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</si>
  <si>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</si>
  <si>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</si>
  <si>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</si>
  <si>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</si>
  <si>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</si>
  <si>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</si>
  <si>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</si>
  <si>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</si>
  <si>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</si>
  <si>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</si>
  <si>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</si>
  <si>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</si>
  <si>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</si>
  <si>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</si>
  <si>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</si>
  <si>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</si>
  <si>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</si>
  <si>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</si>
  <si>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</si>
  <si>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</si>
  <si>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</si>
  <si>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</si>
  <si>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</si>
  <si>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</si>
  <si>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</si>
  <si>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</si>
  <si>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</si>
  <si>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</si>
  <si>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</si>
  <si>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</si>
  <si>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</si>
  <si>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</si>
  <si>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</si>
  <si>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</si>
  <si>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</si>
  <si>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</si>
  <si>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</si>
  <si>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</si>
  <si>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</si>
  <si>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</si>
  <si>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</si>
  <si>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</si>
  <si>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</si>
  <si>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</si>
  <si>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</si>
  <si>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</si>
  <si>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</si>
  <si>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</si>
  <si>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</si>
  <si>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</si>
  <si>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</si>
  <si>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</si>
  <si>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</si>
  <si>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</si>
  <si>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</si>
  <si>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</si>
  <si>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</si>
  <si>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</si>
  <si>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</si>
  <si>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</si>
  <si>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</si>
  <si>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</si>
  <si>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</si>
  <si>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</si>
  <si>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</si>
  <si>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</si>
  <si>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</si>
  <si>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</si>
  <si>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</si>
  <si>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</si>
  <si>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</si>
  <si>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</si>
  <si>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</si>
  <si>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</si>
  <si>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</si>
  <si>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</si>
  <si>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</si>
  <si>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</si>
  <si>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</si>
  <si>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</si>
  <si>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</si>
  <si>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</si>
  <si>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</si>
  <si>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</si>
  <si>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</si>
  <si>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</si>
  <si>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</si>
  <si>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</si>
  <si>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</si>
  <si>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</si>
  <si>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</si>
  <si>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</si>
  <si>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</si>
  <si>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</si>
  <si>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</si>
  <si>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</si>
  <si>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</si>
  <si>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</si>
  <si>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</si>
  <si>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</si>
  <si>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</si>
  <si>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</si>
  <si>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</si>
  <si>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</si>
  <si>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</si>
  <si>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</si>
  <si>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</si>
  <si>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</si>
  <si>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</si>
  <si>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</si>
  <si>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</si>
  <si>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</si>
  <si>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</si>
  <si>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</si>
  <si>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</si>
  <si>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</si>
  <si>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</si>
  <si>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</si>
  <si>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</si>
  <si>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</si>
  <si>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</si>
  <si>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</si>
  <si>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</si>
  <si>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</si>
  <si>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</si>
  <si>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</si>
  <si>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</si>
  <si>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</si>
  <si>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</si>
  <si>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</si>
  <si>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</si>
  <si>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</si>
  <si>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</si>
  <si>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</si>
  <si>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</si>
  <si>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</si>
  <si>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</si>
  <si>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</si>
  <si>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</si>
  <si>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</si>
  <si>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</si>
  <si>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</si>
  <si>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</si>
  <si>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</si>
  <si>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</si>
  <si>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</si>
  <si>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</si>
  <si>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</si>
  <si>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</si>
  <si>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</si>
  <si>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</si>
  <si>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</si>
  <si>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</si>
  <si>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</si>
  <si>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</si>
  <si>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</si>
  <si>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</si>
  <si>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</si>
  <si>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</si>
  <si>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</si>
  <si>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</si>
  <si>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</si>
  <si>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</si>
  <si>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</si>
  <si>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</si>
  <si>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</si>
  <si>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</si>
  <si>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</si>
  <si>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</si>
  <si>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</si>
  <si>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</si>
  <si>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</si>
  <si>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</si>
  <si>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</si>
  <si>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</si>
  <si>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</si>
  <si>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</si>
  <si>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</si>
  <si>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</si>
  <si>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</si>
  <si>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</si>
  <si>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</si>
  <si>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</si>
  <si>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</si>
  <si>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</si>
  <si>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</si>
  <si>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</si>
  <si>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</si>
  <si>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</si>
  <si>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</si>
  <si>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</si>
  <si>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</si>
  <si>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</si>
  <si>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</si>
  <si>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</si>
  <si>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</si>
  <si>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</si>
  <si>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</si>
  <si>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</si>
  <si>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</si>
  <si>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</si>
  <si>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</si>
  <si>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</si>
  <si>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</si>
  <si>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</si>
  <si>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</si>
  <si>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</si>
  <si>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</si>
  <si>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</si>
  <si>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</si>
  <si>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</si>
  <si>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</si>
  <si>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</si>
  <si>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</si>
  <si>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</si>
  <si>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</si>
  <si>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</si>
  <si>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</si>
  <si>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</si>
  <si>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</si>
  <si>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</si>
  <si>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</si>
  <si>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</si>
  <si>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</si>
  <si>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</si>
  <si>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</si>
  <si>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</si>
  <si>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</si>
  <si>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</si>
  <si>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</si>
  <si>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</si>
  <si>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</si>
  <si>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</si>
  <si>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</si>
  <si>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</si>
  <si>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</si>
  <si>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</si>
  <si>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</si>
  <si>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</si>
  <si>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</si>
  <si>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</si>
  <si>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</si>
  <si>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</si>
  <si>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</si>
  <si>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</si>
  <si>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</si>
  <si>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</si>
  <si>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</si>
  <si>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</si>
  <si>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</si>
  <si>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</si>
  <si>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</si>
  <si>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</si>
  <si>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</si>
  <si>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</si>
  <si>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</si>
  <si>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</si>
  <si>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</si>
  <si>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</si>
  <si>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</si>
  <si>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</si>
  <si>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</si>
  <si>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</si>
  <si>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</si>
  <si>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</si>
  <si>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</si>
  <si>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</si>
  <si>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</si>
  <si>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</si>
  <si>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</si>
  <si>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</si>
  <si>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</si>
  <si>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</si>
  <si>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</si>
  <si>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</si>
  <si>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</si>
  <si>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</si>
  <si>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</si>
  <si>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</si>
  <si>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</si>
  <si>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</si>
  <si>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</si>
  <si>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</si>
  <si>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</si>
  <si>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</si>
  <si>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</si>
  <si>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</si>
  <si>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</si>
  <si>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</si>
  <si>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</si>
  <si>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</si>
  <si>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</si>
  <si>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</si>
  <si>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</si>
  <si>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</si>
  <si>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</si>
  <si>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</si>
  <si>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</si>
  <si>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</si>
  <si>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</si>
  <si>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</si>
  <si>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</si>
  <si>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</si>
  <si>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</si>
  <si>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</si>
  <si>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</si>
  <si>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</si>
  <si>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</si>
  <si>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</si>
  <si>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</si>
  <si>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</si>
  <si>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</si>
  <si>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</si>
  <si>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</si>
  <si>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</si>
  <si>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</si>
  <si>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</si>
  <si>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</si>
  <si>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</si>
  <si>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</si>
  <si>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</si>
  <si>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</si>
  <si>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</si>
  <si>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</si>
  <si>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</si>
  <si>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</si>
  <si>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</si>
  <si>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</si>
  <si>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</si>
  <si>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</si>
  <si>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</si>
  <si>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</si>
  <si>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</si>
  <si>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</si>
  <si>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</si>
  <si>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</si>
  <si>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</si>
  <si>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</si>
  <si>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</si>
  <si>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</si>
  <si>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</si>
  <si>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</si>
  <si>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</si>
  <si>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</si>
  <si>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</si>
  <si>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</si>
  <si>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</si>
  <si>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</si>
  <si>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</si>
  <si>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</si>
  <si>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</si>
  <si>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</si>
  <si>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</si>
  <si>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</si>
  <si>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</si>
  <si>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</si>
  <si>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</si>
  <si>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</si>
  <si>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</si>
  <si>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</si>
  <si>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</si>
  <si>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</si>
  <si>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</si>
  <si>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</si>
  <si>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</si>
  <si>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</si>
  <si>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</si>
  <si>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</si>
  <si>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</si>
  <si>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</si>
  <si>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</si>
  <si>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</si>
  <si>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</si>
  <si>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</si>
  <si>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</si>
  <si>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</si>
  <si>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</si>
  <si>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</si>
  <si>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</si>
  <si>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</si>
  <si>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</si>
  <si>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</si>
  <si>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</si>
  <si>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</si>
  <si>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</si>
  <si>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</si>
  <si>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</si>
  <si>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</si>
  <si>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</si>
  <si>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</si>
  <si>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</si>
  <si>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</si>
  <si>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</si>
  <si>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</si>
  <si>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</si>
  <si>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</si>
  <si>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</si>
  <si>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</si>
  <si>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</si>
  <si>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</si>
  <si>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</si>
  <si>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</si>
  <si>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</si>
  <si>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</si>
  <si>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</si>
  <si>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</si>
  <si>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</si>
  <si>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</si>
  <si>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</si>
  <si>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</si>
  <si>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</si>
  <si>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</si>
  <si>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</si>
  <si>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</si>
  <si>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</si>
  <si>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</si>
  <si>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</si>
  <si>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</si>
  <si>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</si>
  <si>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</si>
  <si>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</si>
  <si>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</si>
  <si>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</si>
  <si>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</si>
  <si>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</si>
  <si>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</si>
  <si>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</si>
  <si>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</si>
  <si>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</si>
  <si>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</si>
  <si>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</si>
  <si>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</si>
  <si>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</si>
  <si>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</si>
  <si>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</si>
  <si>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</si>
  <si>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</si>
  <si>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</si>
  <si>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</si>
  <si>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</si>
  <si>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</si>
  <si>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</si>
  <si>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</si>
  <si>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</si>
  <si>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</si>
  <si>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</si>
  <si>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</si>
  <si>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</si>
  <si>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</si>
  <si>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</si>
  <si>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</si>
  <si>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</si>
  <si>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</si>
  <si>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</si>
  <si>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</si>
  <si>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</si>
  <si>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</si>
  <si>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</si>
  <si>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</si>
  <si>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</si>
  <si>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</si>
  <si>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</si>
  <si>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</si>
  <si>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</si>
  <si>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</si>
  <si>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</si>
  <si>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</si>
  <si>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</si>
  <si>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</si>
  <si>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</si>
  <si>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</si>
  <si>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</si>
  <si>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</si>
  <si>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</si>
  <si>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</si>
  <si>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</si>
  <si>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</si>
  <si>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</si>
  <si>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</si>
  <si>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</si>
  <si>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</si>
  <si>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</si>
  <si>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</si>
  <si>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</si>
  <si>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</si>
  <si>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</si>
  <si>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</si>
  <si>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</si>
  <si>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</si>
  <si>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</si>
  <si>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</si>
  <si>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</si>
  <si>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</si>
  <si>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</si>
  <si>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</si>
  <si>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</si>
  <si>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</si>
  <si>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</si>
  <si>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</si>
  <si>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</si>
  <si>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</si>
  <si>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</si>
  <si>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</si>
  <si>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</si>
  <si>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</si>
  <si>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</si>
  <si>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</si>
  <si>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</si>
  <si>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</si>
  <si>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</si>
  <si>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</si>
  <si>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</si>
  <si>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</si>
  <si>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</si>
  <si>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</si>
  <si>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</si>
  <si>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</si>
  <si>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</si>
  <si>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</si>
  <si>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</si>
  <si>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</si>
  <si>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</si>
  <si>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</si>
  <si>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</si>
  <si>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</si>
  <si>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</si>
  <si>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</si>
  <si>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</si>
  <si>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</si>
  <si>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</si>
  <si>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</si>
  <si>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</si>
  <si>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</si>
  <si>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</si>
  <si>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</si>
  <si>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</si>
  <si>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</si>
  <si>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</si>
  <si>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</si>
  <si>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</si>
  <si>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</si>
  <si>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</si>
  <si>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</si>
  <si>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</si>
  <si>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</si>
  <si>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</si>
  <si>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</si>
  <si>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</si>
  <si>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</si>
  <si>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</si>
  <si>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</si>
  <si>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</si>
  <si>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</si>
  <si>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</si>
  <si>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</si>
  <si>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</si>
  <si>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</si>
  <si>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</si>
  <si>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</si>
  <si>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</si>
  <si>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</si>
  <si>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</si>
  <si>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</si>
  <si>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</si>
  <si>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</si>
  <si>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</si>
  <si>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</si>
  <si>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</si>
  <si>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</si>
  <si>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</si>
  <si>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</si>
  <si>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</si>
  <si>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</si>
  <si>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</si>
  <si>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</si>
  <si>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</si>
  <si>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</si>
  <si>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</si>
  <si>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</si>
  <si>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</si>
  <si>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</si>
  <si>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</si>
  <si>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</si>
  <si>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</si>
  <si>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</si>
  <si>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</si>
  <si>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</si>
  <si>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</si>
  <si>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</si>
  <si>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</si>
  <si>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</si>
  <si>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</si>
  <si>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</si>
  <si>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</si>
  <si>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</si>
  <si>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</si>
  <si>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</si>
  <si>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</si>
  <si>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</si>
  <si>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</si>
  <si>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</si>
  <si>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</si>
  <si>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</si>
  <si>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</si>
  <si>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</si>
  <si>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</si>
  <si>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</si>
  <si>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</si>
  <si>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</si>
  <si>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</si>
  <si>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</si>
  <si>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</si>
  <si>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</si>
  <si>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</si>
  <si>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</si>
  <si>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</si>
  <si>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</si>
  <si>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</si>
  <si>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</si>
  <si>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</si>
  <si>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</si>
  <si>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</si>
  <si>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</si>
  <si>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</si>
  <si>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</si>
  <si>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</si>
  <si>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</si>
  <si>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</si>
  <si>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</si>
  <si>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</si>
  <si>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</si>
  <si>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</si>
  <si>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</si>
  <si>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</si>
  <si>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</si>
  <si>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</si>
  <si>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</si>
  <si>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</si>
  <si>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</si>
  <si>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</si>
  <si>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</si>
  <si>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</si>
  <si>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</si>
  <si>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</si>
  <si>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</si>
  <si>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</si>
  <si>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</si>
  <si>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</si>
  <si>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</si>
  <si>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</si>
  <si>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</si>
  <si>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</si>
  <si>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</si>
  <si>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</si>
  <si>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</si>
  <si>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</si>
  <si>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</si>
  <si>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</si>
  <si>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</si>
  <si>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</si>
  <si>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</si>
  <si>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</si>
  <si>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</si>
  <si>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</si>
  <si>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</si>
  <si>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</si>
  <si>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</si>
  <si>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</si>
  <si>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</si>
  <si>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</si>
  <si>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</si>
  <si>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</si>
  <si>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</si>
  <si>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</si>
  <si>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</si>
  <si>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</si>
  <si>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</si>
  <si>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</si>
  <si>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</si>
  <si>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</si>
  <si>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</si>
  <si>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</si>
  <si>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</si>
  <si>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</si>
  <si>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</si>
  <si>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</si>
  <si>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</si>
  <si>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</si>
  <si>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</si>
  <si>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</si>
  <si>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</si>
  <si>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</si>
  <si>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</si>
  <si>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</si>
  <si>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</si>
  <si>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</si>
  <si>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</si>
  <si>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</si>
  <si>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</si>
  <si>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</si>
  <si>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</si>
  <si>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</si>
  <si>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</si>
  <si>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</si>
  <si>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</si>
  <si>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</si>
  <si>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</si>
  <si>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</si>
  <si>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</si>
  <si>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</si>
  <si>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</si>
  <si>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</si>
  <si>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</si>
  <si>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</si>
  <si>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</si>
  <si>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</si>
  <si>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</si>
  <si>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</si>
  <si>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</si>
  <si>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</si>
  <si>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</si>
  <si>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</si>
  <si>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</si>
  <si>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</si>
  <si>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</si>
  <si>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</si>
  <si>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</si>
  <si>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</si>
  <si>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</si>
  <si>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</si>
  <si>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</si>
  <si>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</si>
  <si>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</si>
  <si>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</si>
  <si>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</si>
  <si>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</si>
  <si>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</si>
  <si>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</si>
  <si>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</si>
  <si>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</si>
  <si>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</si>
  <si>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</si>
  <si>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</si>
  <si>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</si>
  <si>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</si>
  <si>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</si>
  <si>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</si>
  <si>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</si>
  <si>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</si>
  <si>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</si>
  <si>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</si>
  <si>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</si>
  <si>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</si>
  <si>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</si>
  <si>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</si>
  <si>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</si>
  <si>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</si>
  <si>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</si>
  <si>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</si>
  <si>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</si>
  <si>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</si>
  <si>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</si>
  <si>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</si>
  <si>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</si>
  <si>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</si>
  <si>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</si>
  <si>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</si>
  <si>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</si>
  <si>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</si>
  <si>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</si>
  <si>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</si>
  <si>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</si>
  <si>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</si>
  <si>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</si>
  <si>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</si>
  <si>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</si>
  <si>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</si>
  <si>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</si>
  <si>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</si>
  <si>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</si>
  <si>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</si>
  <si>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</si>
  <si>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</si>
  <si>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</si>
  <si>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</si>
  <si>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</si>
  <si>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</si>
  <si>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</si>
  <si>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</si>
  <si>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</si>
  <si>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</si>
  <si>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</si>
  <si>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</si>
  <si>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</si>
  <si>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</si>
  <si>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</si>
  <si>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</si>
  <si>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</si>
  <si>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</si>
  <si>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</si>
  <si>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</si>
  <si>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</si>
  <si>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</si>
  <si>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</si>
  <si>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</si>
  <si>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</si>
  <si>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</si>
  <si>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</si>
  <si>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</si>
  <si>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</si>
  <si>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</si>
  <si>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</si>
  <si>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</si>
  <si>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</si>
  <si>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</si>
  <si>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</si>
  <si>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</si>
  <si>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</si>
  <si>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</si>
  <si>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</si>
  <si>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</si>
  <si>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</si>
  <si>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</si>
  <si>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</si>
  <si>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</si>
  <si>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</si>
  <si>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</si>
  <si>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</si>
  <si>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</si>
  <si>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</si>
  <si>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</si>
  <si>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</si>
  <si>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</si>
  <si>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</si>
  <si>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</si>
  <si>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</si>
  <si>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</si>
  <si>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</si>
  <si>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</si>
  <si>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</si>
  <si>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</si>
  <si>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</si>
  <si>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</si>
  <si>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</si>
  <si>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</si>
  <si>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</si>
  <si>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</si>
  <si>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</si>
  <si>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</si>
  <si>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</si>
  <si>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</si>
  <si>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</si>
  <si>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</si>
  <si>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</si>
  <si>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</si>
  <si>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</si>
  <si>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</si>
  <si>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</si>
  <si>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</si>
  <si>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</si>
  <si>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</si>
  <si>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</si>
  <si>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</si>
  <si>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</si>
  <si>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</si>
  <si>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</si>
  <si>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</si>
  <si>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</si>
  <si>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</si>
  <si>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</si>
  <si>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</si>
  <si>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</si>
  <si>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</si>
  <si>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</si>
  <si>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</si>
  <si>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</si>
  <si>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</si>
  <si>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</si>
  <si>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</si>
  <si>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</si>
  <si>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</si>
  <si>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</si>
  <si>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</si>
  <si>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</si>
  <si>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</si>
  <si>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</si>
  <si>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</si>
  <si>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</si>
  <si>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</si>
  <si>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</si>
  <si>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</si>
  <si>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</si>
  <si>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</si>
  <si>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</si>
  <si>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</si>
  <si>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</si>
  <si>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</si>
  <si>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</si>
  <si>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</si>
  <si>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</si>
  <si>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</si>
  <si>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</si>
  <si>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</si>
  <si>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</si>
  <si>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</si>
  <si>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</si>
  <si>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</si>
  <si>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</si>
  <si>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</si>
  <si>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</si>
  <si>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</si>
  <si>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</si>
  <si>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</si>
  <si>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</si>
  <si>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</si>
  <si>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</si>
  <si>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</si>
  <si>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</si>
  <si>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</si>
  <si>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</si>
  <si>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</si>
  <si>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</si>
  <si>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</si>
  <si>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</si>
  <si>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</si>
  <si>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</si>
  <si>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</si>
  <si>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</si>
  <si>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</si>
  <si>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</si>
  <si>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</si>
  <si>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</si>
  <si>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</si>
  <si>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</si>
  <si>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</si>
  <si>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</si>
  <si>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</si>
  <si>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</si>
  <si>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</si>
  <si>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</si>
  <si>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</si>
  <si>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</si>
  <si>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</si>
  <si>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</si>
  <si>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</si>
  <si>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</si>
  <si>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</si>
  <si>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</si>
  <si>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</si>
  <si>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</si>
  <si>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</si>
  <si>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</si>
  <si>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</si>
  <si>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</si>
  <si>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</si>
  <si>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</si>
  <si>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</si>
  <si>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</si>
  <si>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</si>
  <si>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</si>
  <si>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</si>
  <si>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</si>
  <si>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</si>
  <si>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</si>
  <si>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</si>
  <si>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</si>
  <si>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</si>
  <si>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</si>
  <si>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</si>
  <si>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</si>
  <si>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</si>
  <si>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</si>
  <si>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</si>
  <si>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</si>
  <si>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</si>
  <si>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</si>
  <si>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</si>
  <si>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</si>
  <si>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</si>
  <si>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</si>
  <si>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</si>
  <si>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</si>
  <si>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</si>
  <si>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</si>
  <si>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</si>
  <si>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</si>
  <si>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</si>
  <si>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</si>
  <si>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</si>
  <si>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</si>
  <si>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</si>
  <si>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</si>
  <si>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</si>
  <si>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</si>
  <si>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</si>
  <si>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</si>
  <si>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</si>
  <si>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</si>
  <si>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</si>
  <si>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</si>
  <si>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</si>
  <si>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</si>
  <si>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</si>
  <si>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</si>
  <si>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</si>
  <si>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</si>
  <si>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</si>
  <si>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</si>
  <si>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</si>
  <si>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</si>
  <si>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</si>
  <si>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</si>
  <si>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</si>
  <si>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</si>
  <si>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</si>
  <si>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</si>
  <si>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</si>
  <si>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</si>
  <si>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</si>
  <si>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</si>
  <si>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</si>
  <si>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</si>
  <si>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</si>
  <si>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</si>
  <si>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</si>
  <si>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</si>
  <si>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</si>
  <si>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</si>
  <si>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</si>
  <si>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</si>
  <si>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</si>
  <si>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</si>
  <si>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</si>
  <si>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</si>
  <si>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</si>
  <si>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</si>
  <si>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</si>
  <si>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</si>
  <si>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</si>
  <si>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</si>
  <si>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</si>
  <si>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</si>
  <si>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</si>
  <si>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</si>
  <si>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</si>
  <si>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</si>
  <si>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</si>
  <si>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</si>
  <si>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</si>
  <si>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</si>
  <si>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</si>
  <si>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</si>
  <si>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</si>
  <si>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</si>
  <si>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</si>
  <si>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</si>
  <si>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</si>
  <si>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</si>
  <si>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</si>
  <si>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</si>
  <si>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</si>
  <si>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</si>
  <si>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</si>
  <si>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</si>
  <si>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</si>
  <si>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</si>
  <si>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</si>
  <si>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</si>
  <si>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</si>
  <si>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</si>
  <si>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</si>
  <si>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</si>
  <si>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</si>
  <si>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</si>
  <si>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</si>
  <si>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</si>
  <si>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</si>
  <si>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</si>
  <si>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</si>
  <si>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</si>
  <si>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</si>
  <si>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</si>
  <si>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</si>
  <si>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</si>
  <si>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</si>
  <si>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</si>
  <si>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</si>
  <si>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</si>
  <si>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</si>
  <si>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</si>
  <si>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</si>
  <si>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</si>
  <si>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</si>
  <si>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</si>
  <si>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</si>
  <si>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</si>
  <si>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</si>
  <si>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</si>
  <si>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</si>
  <si>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</si>
  <si>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</si>
  <si>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</si>
  <si>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</si>
  <si>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</si>
  <si>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</si>
  <si>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</si>
  <si>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</si>
  <si>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</si>
  <si>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</si>
  <si>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</si>
  <si>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</si>
  <si>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</si>
  <si>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</si>
  <si>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</si>
  <si>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</si>
  <si>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</si>
  <si>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</si>
  <si>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</si>
  <si>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</si>
  <si>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</si>
  <si>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</si>
  <si>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</si>
  <si>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</si>
  <si>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</si>
  <si>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</si>
  <si>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</si>
  <si>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</si>
  <si>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</si>
  <si>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</si>
  <si>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</si>
  <si>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</si>
  <si>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</si>
  <si>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</si>
  <si>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</si>
  <si>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</si>
  <si>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</si>
  <si>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</si>
  <si>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</si>
  <si>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</si>
  <si>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</si>
  <si>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</si>
  <si>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</si>
  <si>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</si>
  <si>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</si>
  <si>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</si>
  <si>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</si>
  <si>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</si>
  <si>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</si>
  <si>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</si>
  <si>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</si>
  <si>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</si>
  <si>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</si>
  <si>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</si>
  <si>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</si>
  <si>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</si>
  <si>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</si>
  <si>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</si>
  <si>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</si>
  <si>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</si>
  <si>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</si>
  <si>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</si>
  <si>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</si>
  <si>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</si>
  <si>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</si>
  <si>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</si>
  <si>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</si>
  <si>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</si>
  <si>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</si>
  <si>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</si>
  <si>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</si>
  <si>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</si>
  <si>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</si>
  <si>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</si>
  <si>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</si>
  <si>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</si>
  <si>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</si>
  <si>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</si>
  <si>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</si>
  <si>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</si>
  <si>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</si>
  <si>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</si>
  <si>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</si>
  <si>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</si>
  <si>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</si>
  <si>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</si>
  <si>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</si>
  <si>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</si>
  <si>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</si>
  <si>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</si>
  <si>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</si>
  <si>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</si>
  <si>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</si>
  <si>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</si>
  <si>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</si>
  <si>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</si>
  <si>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</si>
  <si>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</si>
  <si>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</si>
  <si>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</si>
  <si>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</si>
  <si>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</si>
  <si>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</si>
  <si>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</si>
  <si>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</si>
  <si>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</si>
  <si>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</si>
  <si>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</si>
  <si>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</si>
  <si>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</si>
  <si>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</si>
  <si>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</si>
  <si>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</si>
  <si>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</si>
  <si>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</si>
  <si>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</si>
  <si>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</si>
  <si>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</si>
  <si>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</si>
  <si>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</si>
  <si>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</si>
  <si>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</si>
  <si>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</si>
  <si>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</si>
  <si>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</si>
  <si>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</si>
  <si>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</si>
  <si>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</si>
  <si>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</si>
  <si>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</si>
  <si>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</si>
  <si>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</si>
  <si>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</si>
  <si>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</si>
  <si>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</si>
  <si>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</si>
  <si>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</si>
  <si>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</si>
  <si>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</si>
  <si>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</si>
  <si>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</si>
  <si>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</si>
  <si>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</si>
  <si>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</si>
  <si>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</si>
  <si>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</si>
  <si>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</si>
  <si>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</si>
  <si>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</si>
  <si>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</si>
  <si>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</si>
  <si>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</si>
  <si>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</si>
  <si>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</si>
  <si>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</si>
  <si>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</si>
  <si>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</si>
  <si>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</si>
  <si>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</si>
  <si>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</si>
  <si>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</si>
  <si>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</si>
  <si>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</si>
  <si>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</si>
  <si>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</si>
  <si>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</si>
  <si>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</si>
  <si>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</si>
  <si>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</si>
  <si>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</si>
  <si>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</si>
  <si>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</si>
  <si>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</si>
  <si>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</si>
  <si>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</si>
  <si>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</si>
  <si>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</si>
  <si>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</si>
  <si>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</si>
  <si>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</si>
  <si>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</si>
  <si>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</si>
  <si>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</si>
  <si>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</si>
  <si>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</si>
  <si>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</si>
  <si>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</si>
  <si>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</si>
  <si>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</si>
  <si>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</si>
  <si>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</si>
  <si>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</si>
  <si>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</si>
  <si>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</si>
  <si>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</si>
  <si>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</si>
  <si>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</si>
  <si>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</si>
  <si>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</si>
  <si>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</si>
  <si>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</si>
  <si>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</si>
  <si>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</si>
  <si>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</si>
  <si>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</si>
  <si>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</si>
  <si>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</si>
  <si>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</si>
  <si>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>83.75</t>
  </si>
  <si>
    <t>77.13</t>
  </si>
  <si>
    <t>20.29</t>
  </si>
  <si>
    <t>8844.62</t>
  </si>
  <si>
    <t>244.1</t>
  </si>
  <si>
    <t>5.34</t>
  </si>
  <si>
    <t>16.85</t>
  </si>
  <si>
    <t>89.43</t>
  </si>
  <si>
    <t>20.13</t>
  </si>
  <si>
    <t>8839.12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</si>
  <si>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</si>
  <si>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</si>
  <si>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</si>
  <si>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</si>
  <si>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</si>
  <si>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</si>
  <si>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</si>
  <si>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</si>
  <si>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</si>
  <si>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</si>
  <si>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</si>
  <si>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</si>
  <si>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1.33</t>
  </si>
  <si>
    <t>56.32</t>
  </si>
  <si>
    <t>15</t>
  </si>
  <si>
    <t>11.39</t>
  </si>
  <si>
    <t>632.65</t>
  </si>
  <si>
    <t>57157</t>
  </si>
  <si>
    <t>113982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</si>
  <si>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</si>
  <si>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</si>
  <si>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</si>
  <si>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</si>
  <si>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</si>
  <si>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</si>
  <si>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</si>
  <si>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</si>
  <si>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</si>
  <si>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</si>
  <si>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</si>
  <si>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</si>
  <si>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</si>
  <si>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</si>
  <si>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</si>
  <si>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</si>
  <si>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</si>
  <si>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</si>
  <si>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</si>
  <si>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</si>
  <si>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</si>
  <si>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</si>
  <si>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</si>
  <si>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</si>
  <si>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</si>
  <si>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</si>
  <si>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9.56</t>
  </si>
  <si>
    <t>16.22</t>
  </si>
  <si>
    <t>20.69</t>
  </si>
  <si>
    <t>1086.9</t>
  </si>
  <si>
    <t>112779</t>
  </si>
  <si>
    <t>251734</t>
  </si>
  <si>
    <t>117.3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</si>
  <si>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</si>
  <si>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</si>
  <si>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</si>
  <si>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</si>
  <si>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</si>
  <si>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</si>
  <si>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</si>
  <si>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</si>
  <si>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</si>
  <si>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253.6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</si>
  <si>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</si>
  <si>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</si>
  <si>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</si>
  <si>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</si>
  <si>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</si>
  <si>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</si>
  <si>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</si>
  <si>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</si>
  <si>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</si>
  <si>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</si>
  <si>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</si>
  <si>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</si>
  <si>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</si>
  <si>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</si>
  <si>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</si>
  <si>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</si>
  <si>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</si>
  <si>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</si>
  <si>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</si>
  <si>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</si>
  <si>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</si>
  <si>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</si>
  <si>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</si>
  <si>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</si>
  <si>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</si>
  <si>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</si>
  <si>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</si>
  <si>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</si>
  <si>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</si>
  <si>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</si>
  <si>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</si>
  <si>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</si>
  <si>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</si>
  <si>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</si>
  <si>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</si>
  <si>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</si>
  <si>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</si>
  <si>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</si>
  <si>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</si>
  <si>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</si>
  <si>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</si>
  <si>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</si>
  <si>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</si>
  <si>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</si>
  <si>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</si>
  <si>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</si>
  <si>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</si>
  <si>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</si>
  <si>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</si>
  <si>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</si>
  <si>
    <t>1.07</t>
  </si>
  <si>
    <t>0.17</t>
  </si>
  <si>
    <t>83.81</t>
  </si>
  <si>
    <t>9242.11</t>
  </si>
  <si>
    <t>290.8</t>
  </si>
  <si>
    <t>16.16</t>
  </si>
  <si>
    <t>733</t>
  </si>
  <si>
    <t>19.6</t>
  </si>
  <si>
    <t>197.79</t>
  </si>
  <si>
    <t>38.13</t>
  </si>
  <si>
    <t>6652.17</t>
  </si>
  <si>
    <t>423116</t>
  </si>
  <si>
    <t>1517171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</si>
</sst>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3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7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2" fillId="0" borderId="1" xfId="0" applyNumberFormat="1" applyFont="1" applyBorder="1" applyAlignment="1">
      <alignment horizontal="left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 applyNumberFormat="1"/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35" formatCode="_-* #,##0.00_-;\-* #,##0.0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</dxfs>
  <tableStyles count="0" defaultTableStyle="TableStyleMedium2" defaultPivotStyle="PivotStyleLight16"/>
  <colors>
    <mruColors>
      <color rgb="FF1F4E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0048354951481585E-2"/>
              <c:y val="-6.6647110287684649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6279391424619641E-2"/>
              <c:y val="-4.183006535947713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2448132780082886E-2"/>
              <c:y val="3.921568627450980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</c:pivotFmt>
      <c:pivotFmt>
        <c:idx val="3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662517289073307E-3"/>
              <c:y val="4.705882352941174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8347110138203577E-2"/>
              <c:y val="4.8346456692913382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</c:pivotFmt>
      <c:pivotFmt>
        <c:idx val="38"/>
      </c:pivotFmt>
      <c:pivotFmt>
        <c:idx val="39"/>
      </c:pivotFmt>
      <c:pivotFmt>
        <c:idx val="4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2987551867218911E-3"/>
              <c:y val="-6.274509803921568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710008866111892E-2"/>
              <c:y val="-4.6629499053131497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layout>
            <c:manualLayout>
              <c:x val="0"/>
              <c:y val="-1.8133694076217861E-2"/>
            </c:manualLayout>
          </c:layout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9045643153526972E-2"/>
              <c:y val="-4.7058823529411764E-2"/>
            </c:manualLayout>
          </c:layout>
          <c:numFmt formatCode="_(* #,##0_);_(* \(#,##0\);_(* &quot;-&quot;_);_(@_)" sourceLinked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separator>. </c:separator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01/08/2026</c:v>
                  </c:pt>
                  <c:pt idx="1">
                    <c:v>31/07/2026</c:v>
                  </c:pt>
                  <c:pt idx="2">
                    <c:v>30/07/2026</c:v>
                  </c:pt>
                  <c:pt idx="3">
                    <c:v>29/07/2026</c:v>
                  </c:pt>
                  <c:pt idx="4">
                    <c:v>28/07/2026</c:v>
                  </c:pt>
                  <c:pt idx="5">
                    <c:v>27/07/2026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S31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10880</c:v>
                </c:pt>
                <c:pt idx="1">
                  <c:v>13206</c:v>
                </c:pt>
                <c:pt idx="2">
                  <c:v>13528</c:v>
                </c:pt>
                <c:pt idx="3">
                  <c:v>13669</c:v>
                </c:pt>
                <c:pt idx="4">
                  <c:v>8290</c:v>
                </c:pt>
                <c:pt idx="5">
                  <c:v>13823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01/08/2026</c:v>
                  </c:pt>
                  <c:pt idx="1">
                    <c:v>31/07/2026</c:v>
                  </c:pt>
                  <c:pt idx="2">
                    <c:v>30/07/2026</c:v>
                  </c:pt>
                  <c:pt idx="3">
                    <c:v>29/07/2026</c:v>
                  </c:pt>
                  <c:pt idx="4">
                    <c:v>28/07/2026</c:v>
                  </c:pt>
                  <c:pt idx="5">
                    <c:v>27/07/2026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S31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7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304-451C-8119-5BD1CA49CA4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304-451C-8119-5BD1CA49CA4F}"/>
                </c:ext>
              </c:extLst>
            </c:dLbl>
            <c:dLbl>
              <c:idx val="2"/>
              <c:layout>
                <c:manualLayout>
                  <c:x val="2.9045643153526972E-2"/>
                  <c:y val="-4.7058823529411764E-2"/>
                </c:manualLayout>
              </c:layout>
              <c:numFmt formatCode="_(* #,##0_);_(* \(#,##0\);_(* &quot;-&quot;_);_(@_)" sourceLinked="0"/>
              <c:spPr>
                <a:solidFill>
                  <a:sysClr val="window" lastClr="FFFFFF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.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C2C-4394-AE3D-E21EBB7C16B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9E6-4F81-A507-37E7FBCD13D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2C0-47C5-880F-3A7B8D543E9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2C0-47C5-880F-3A7B8D543E98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00B05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01/08/2026</c:v>
                  </c:pt>
                  <c:pt idx="1">
                    <c:v>31/07/2026</c:v>
                  </c:pt>
                  <c:pt idx="2">
                    <c:v>30/07/2026</c:v>
                  </c:pt>
                  <c:pt idx="3">
                    <c:v>29/07/2026</c:v>
                  </c:pt>
                  <c:pt idx="4">
                    <c:v>28/07/2026</c:v>
                  </c:pt>
                  <c:pt idx="5">
                    <c:v>27/07/2026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S31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3945435466946487E-3"/>
              <c:y val="-7.7087794432548179E-2"/>
            </c:manualLayout>
          </c:layout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S28</c:v>
                </c:pt>
                <c:pt idx="1">
                  <c:v>S29</c:v>
                </c:pt>
                <c:pt idx="2">
                  <c:v>S30</c:v>
                </c:pt>
                <c:pt idx="3">
                  <c:v>S31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12634</c:v>
                </c:pt>
                <c:pt idx="1">
                  <c:v>8451</c:v>
                </c:pt>
                <c:pt idx="2">
                  <c:v>21413</c:v>
                </c:pt>
                <c:pt idx="3">
                  <c:v>23332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S28</c:v>
                </c:pt>
                <c:pt idx="1">
                  <c:v>S29</c:v>
                </c:pt>
                <c:pt idx="2">
                  <c:v>S30</c:v>
                </c:pt>
                <c:pt idx="3">
                  <c:v>S31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8479</c:v>
                </c:pt>
                <c:pt idx="1">
                  <c:v>6570</c:v>
                </c:pt>
                <c:pt idx="2">
                  <c:v>17022</c:v>
                </c:pt>
                <c:pt idx="3">
                  <c:v>17642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dLbl>
              <c:idx val="1"/>
              <c:layout>
                <c:manualLayout>
                  <c:x val="8.3945435466946487E-3"/>
                  <c:y val="-7.70877944325481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7E2-41C0-A5AE-E39A77C1C70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7E2-41C0-A5AE-E39A77C1C70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84C-48DD-9D15-1F84058F6836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FFC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S28</c:v>
                </c:pt>
                <c:pt idx="1">
                  <c:v>S29</c:v>
                </c:pt>
                <c:pt idx="2">
                  <c:v>S30</c:v>
                </c:pt>
                <c:pt idx="3">
                  <c:v>S31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24000</c:v>
                </c:pt>
                <c:pt idx="1">
                  <c:v>24000</c:v>
                </c:pt>
                <c:pt idx="2">
                  <c:v>24000</c:v>
                </c:pt>
                <c:pt idx="3">
                  <c:v>23999.999999999996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182882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7.760791435183" createdVersion="8" refreshedVersion="8" minRefreshableVersion="3" recordCount="849" xr:uid="{8D9D6DB7-C64F-4C80-9A78-61C3071D7139}">
  <cacheSource type="worksheet">
    <worksheetSource ref="A4:AB2540" sheet="BD"/>
  </cacheSource>
  <cacheFields count="28">
    <cacheField name="Data" numFmtId="14">
      <sharedItems containsNonDate="0" containsDate="1" containsString="0" containsBlank="1" minDate="2026-05-04T00:00:00" maxDate="2026-08-03T00:00:00" count="92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m/>
      </sharedItems>
    </cacheField>
    <cacheField name="Semana" numFmtId="0">
      <sharedItems containsBlank="1" count="16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430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11.86440677966107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7318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060.9500000000007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11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7.760791782406" createdVersion="8" refreshedVersion="8" minRefreshableVersion="3" recordCount="849" xr:uid="{9D45AC4C-13ED-4258-A051-E1A0E0BEF410}">
  <cacheSource type="worksheet">
    <worksheetSource ref="A4:AB7106" sheet="BD"/>
  </cacheSource>
  <cacheFields count="28">
    <cacheField name="Data" numFmtId="14">
      <sharedItems containsNonDate="0" containsDate="1" containsString="0" containsBlank="1" minDate="2026-05-04T00:00:00" maxDate="2026-08-03T00:00:00" count="92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m/>
      </sharedItems>
    </cacheField>
    <cacheField name="Semana" numFmtId="0">
      <sharedItems containsBlank="1" count="15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430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11.86440677966107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7318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060.9500000000007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11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7.760792013891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7.760792013891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9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3">
  <location ref="A3:D12" firstHeaderRow="0" firstDataRow="1" firstDataCol="1"/>
  <pivotFields count="28">
    <pivotField axis="axisRow" showAll="0" sortType="descending">
      <items count="93"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17">
        <item h="1" x="1"/>
        <item h="1" m="1" x="15"/>
        <item h="1" x="0"/>
        <item h="1" x="14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x="13"/>
        <item t="default"/>
      </items>
    </pivotField>
    <pivotField showAll="0"/>
    <pivotField dataField="1" showAll="0"/>
    <pivotField axis="axisRow" showAll="0">
      <items count="8">
        <item h="1" x="4"/>
        <item h="1" x="1"/>
        <item h="1" x="0"/>
        <item x="2"/>
        <item h="1" x="5"/>
        <item h="1" x="3"/>
        <item h="1" x="6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15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0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5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87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46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40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41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31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30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26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25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24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23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8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49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0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1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2">
      <pivotArea type="data" outline="0" fieldPosition="0">
        <references count="4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3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9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9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axis="axisRow" showAll="0" sortType="ascending">
      <items count="16">
        <item h="1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sd="0" x="10"/>
        <item sd="0" x="11"/>
        <item sd="0" x="12"/>
        <item sd="0" x="13"/>
        <item h="1" x="14"/>
        <item t="default"/>
      </items>
    </pivotField>
    <pivotField showAll="0"/>
    <pivotField showAll="0"/>
    <pivotField showAll="0">
      <items count="8">
        <item h="1" x="4"/>
        <item h="1" x="1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10"/>
    </i>
    <i>
      <x v="11"/>
    </i>
    <i>
      <x v="12"/>
    </i>
    <i>
      <x v="1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6">
      <pivotArea outline="0" collapsedLevelsAreSubtotals="1" fieldPosition="0"/>
    </format>
    <format dxfId="5">
      <pivotArea dataOnly="0" labelOnly="1" fieldPosition="0">
        <references count="1">
          <reference field="1" count="0"/>
        </references>
      </pivotArea>
    </format>
    <format dxfId="4">
      <pivotArea dataOnly="0" labelOnly="1" grandRow="1" outline="0" fieldPosition="0"/>
    </format>
    <format dxfId="3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2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43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  <chartFormat chart="25" format="30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25" format="31">
      <pivotArea type="data" outline="0" fieldPosition="0">
        <references count="2">
          <reference field="4294967294" count="1" selected="0">
            <x v="1"/>
          </reference>
          <reference field="1" count="1" selected="0">
            <x v="1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10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10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6">
        <i x="1"/>
        <i x="0"/>
        <i x="2"/>
        <i x="3"/>
        <i x="4"/>
        <i x="5"/>
        <i x="6"/>
        <i x="7"/>
        <i x="8"/>
        <i x="9"/>
        <i x="10"/>
        <i x="11"/>
        <i x="12"/>
        <i x="13" s="1"/>
        <i x="15" nd="1"/>
        <i x="14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7"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5">
        <i x="1"/>
        <i x="0"/>
        <i x="2"/>
        <i x="3"/>
        <i x="4"/>
        <i x="5"/>
        <i x="6"/>
        <i x="7"/>
        <i x="8"/>
        <i x="9"/>
        <i x="10" s="1"/>
        <i x="11" s="1"/>
        <i x="12" s="1"/>
        <i x="13" s="1"/>
        <i x="14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7"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7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6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zoomScaleNormal="100" workbookViewId="0">
      <selection activeCell="S6" sqref="S6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2">
        <v>46230</v>
      </c>
      <c r="D2" s="82"/>
      <c r="E2" s="62" t="s">
        <v>1</v>
      </c>
      <c r="F2" s="82">
        <v>46236</v>
      </c>
      <c r="G2" s="82"/>
      <c r="H2" s="61"/>
      <c r="I2" s="83" t="s">
        <v>2</v>
      </c>
      <c r="J2" s="83"/>
      <c r="K2" s="61">
        <f>_xlfn.ISOWEEKNUM(C2)</f>
        <v>31</v>
      </c>
      <c r="L2" s="61" t="s">
        <v>1</v>
      </c>
      <c r="M2" s="61">
        <f>_xlfn.ISOWEEKNUM(F2)</f>
        <v>31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84"/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topLeftCell="A4" workbookViewId="0">
      <selection activeCell="T4" sqref="T4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2">
        <v>46209</v>
      </c>
      <c r="D2" s="82"/>
      <c r="E2" s="62" t="s">
        <v>1</v>
      </c>
      <c r="F2" s="82">
        <v>46236</v>
      </c>
      <c r="G2" s="82"/>
      <c r="H2" s="61"/>
      <c r="I2" s="83" t="s">
        <v>2</v>
      </c>
      <c r="J2" s="83"/>
      <c r="K2" s="61">
        <f>_xlfn.ISOWEEKNUM(C2)</f>
        <v>28</v>
      </c>
      <c r="L2" s="61" t="s">
        <v>1</v>
      </c>
      <c r="M2" s="61">
        <f>_xlfn.ISOWEEKNUM(F2)</f>
        <v>31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84"/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852"/>
  <sheetViews>
    <sheetView tabSelected="1" zoomScaleNormal="100" workbookViewId="0">
      <pane ySplit="4" topLeftCell="A717" activePane="bottomLeft" state="frozen"/>
      <selection pane="bottomLeft" activeCell="A711" sqref="A711:XFD711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75"/>
    </row>
    <row r="2" spans="1:28" x14ac:dyDescent="0.25">
      <c r="A2" s="53" t="s">
        <v>5</v>
      </c>
      <c r="H2" s="1">
        <f>15000/7</f>
        <v>2142.8571428571427</v>
      </c>
      <c r="O2" s="75"/>
    </row>
    <row r="3" spans="1:28" x14ac:dyDescent="0.25">
      <c r="A3" s="53" t="s">
        <v>6</v>
      </c>
      <c r="O3" s="75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ht="14.45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ht="14.45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ht="14.45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ht="14.45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ht="14.45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ht="14.45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ht="14.45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ht="14.45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ht="14.45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>IFERROR(O13/K13,)</f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ht="14.45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>IFERROR(O14/K14,)</f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ht="14.45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>IFERROR(O15/K15,)</f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ht="14.45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>IFERROR(O16/K16,)</f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ht="14.45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>IFERROR(O17/K17,)</f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ht="14.45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ht="14.45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ht="14.45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ht="14.45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>IFERROR(O21/K21,)</f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ht="14.45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>IFERROR(O22/K22,)</f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ht="14.45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>IFERROR(O23/K23,)</f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ht="14.45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>IFERROR(O24/K24,)</f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ht="14.45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>IFERROR(O25/K25,)</f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ht="14.45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>IFERROR(O26/K26,)</f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ht="14.45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ht="14.45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ht="14.45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ht="14.45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>IFERROR(O30/K30,)</f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ht="14.45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>IFERROR(O31/K31,)</f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ht="14.45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>IFERROR(O32/K32,)</f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ht="14.45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>IFERROR(O33/K33,)</f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ht="14.45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>IFERROR(O34/K34,)</f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ht="14.45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>IFERROR(O35/K35,)</f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ht="14.45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ht="14.45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ht="14.45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>IFERROR(O38/K38,)</f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ht="14.45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>IFERROR(O39/K39,)</f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ht="14.45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>IFERROR(O40/K40,)</f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ht="14.45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>IFERROR(O41/K41,)</f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ht="14.45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>IFERROR(O42/K42,)</f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ht="14.45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>IFERROR(O43/K43,)</f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ht="14.45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ht="14.45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ht="14.45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>IFERROR(O46/K46,)</f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ht="14.45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>IFERROR(O47/K47,)</f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ht="14.45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>IFERROR(O48/K48,)</f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ht="14.45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>IFERROR(O49/K49,)</f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ht="14.45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>IFERROR(O50/K50,)</f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ht="14.45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>IFERROR(O51/K51,)</f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ht="14.45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ht="14.45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ht="14.45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>IFERROR(O54/K54,)</f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ht="14.45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>IFERROR(O55/K55,)</f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ht="14.45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>IFERROR(O56/K56,)</f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ht="14.45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>IFERROR(O57/K57,)</f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ht="14.45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>IFERROR(O58/K58,)</f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ht="14.45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>IFERROR(O59/K59,)</f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ht="14.45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>IFERROR(O60/K60,)</f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ht="14.45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>IFERROR(O61/K61,)</f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ht="14.45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>IFERROR(O62/K62,)</f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ht="14.45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>IFERROR(O63/K63,)</f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ht="14.45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>IFERROR(O64/K64,)</f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ht="14.45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>IFERROR(O65/K65,)</f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ht="14.45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>IFERROR(O66/K66,)</f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ht="14.45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>IFERROR(O67/K67,)</f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ht="14.45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>IFERROR(O68/K68,)</f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ht="14.45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ht="14.45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ht="14.45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>IFERROR(O71/K71,)</f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ht="14.45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>IFERROR(O72/K72,)</f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ht="14.45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>IFERROR(O73/K73,)</f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ht="14.45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>IFERROR(O74/K74,)</f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ht="14.45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>IFERROR(O75/K75,)</f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ht="14.45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>IFERROR(O76/K76,)</f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ht="14.45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>IFERROR(O77/K77,)</f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ht="14.45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ht="14.45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ht="14.45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>IFERROR(O80/K80,)</f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ht="14.45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>IFERROR(O81/K81,)</f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ht="14.45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>IFERROR(O82/K82,)</f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ht="14.45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>IFERROR(O83/K83,)</f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ht="14.45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>IFERROR(O84/K84,)</f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ht="14.45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>IFERROR(O85/K85,)</f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ht="14.45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>IFERROR(O86/K86,)</f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ht="14.45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>IFERROR(O87/K87,)</f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ht="14.45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>IFERROR(O88/K88,)</f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ht="14.45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>IFERROR(O89/K89,)</f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ht="14.45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>IFERROR(O90/K90,)</f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ht="14.45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>IFERROR(O91/K91,)</f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ht="14.45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>IFERROR(O92/K92,)</f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ht="14.45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ht="14.45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ht="14.45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>IFERROR(O95/K95,)</f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ht="14.45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>IFERROR(O96/K96,)</f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ht="14.45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>IFERROR(O97/K97,)</f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ht="14.45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>IFERROR(O98/K98,)</f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ht="14.45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>IFERROR(O99/K99,)</f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ht="14.45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ht="14.45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ht="14.45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>IFERROR(O102/K102,)</f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ht="14.45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>IFERROR(O103/K103,)</f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ht="14.45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>IFERROR(O104/K104,)</f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ht="14.45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>IFERROR(O105/K105,)</f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ht="14.45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>IFERROR(O106/K106,)</f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ht="14.45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>IFERROR(O107/K107,)</f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ht="14.45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ht="14.45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ht="14.45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>IFERROR(O110/K110,)</f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ht="14.45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>IFERROR(O111/K111,)</f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ht="14.45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>IFERROR(O112/K112,)</f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ht="14.45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>IFERROR(O113/K113,)</f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ht="14.45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>IFERROR(O114/K114,)</f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ht="14.45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>IFERROR(O115/K115,)</f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ht="14.45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>IFERROR(O116/K116,)</f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ht="14.45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>IFERROR(O117/K117,)</f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ht="14.45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>IFERROR(O118/K118,)</f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ht="14.45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>IFERROR(O119/K119,)</f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ht="14.45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>IFERROR(O120/K120,)</f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ht="14.45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ht="14.45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ht="14.45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ht="14.45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ht="14.45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ht="14.45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>IFERROR(O126/K126,)</f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ht="14.45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>IFERROR(O127/K127,)</f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ht="14.45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>IFERROR(O128/K128,)</f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ht="14.45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>IFERROR(O129/K129,)</f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ht="14.45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>IFERROR(O130/K130,)</f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ht="14.45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>IFERROR(O131/K131,)</f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ht="14.45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ht="14.45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ht="14.45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>IFERROR(O134/K134,)</f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ht="14.45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>IFERROR(O135/K135,)</f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ht="14.45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>IFERROR(O136/K136,)</f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ht="14.45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>IFERROR(O137/K137,)</f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ht="14.45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>IFERROR(O138/K138,)</f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ht="14.45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>IFERROR(O139/K139,)</f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ht="14.45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ht="14.45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ht="14.45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>IFERROR(O142/K142,)</f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ht="14.45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>IFERROR(O143/K143,)</f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ht="14.45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>IFERROR(O144/K144,)</f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ht="14.45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>IFERROR(O145/K145,)</f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ht="14.45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>IFERROR(O146/K146,)</f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ht="14.45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>IFERROR(O147/K147,)</f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ht="14.45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ht="14.45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ht="14.45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>IFERROR(O150/K150,)</f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ht="14.45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>IFERROR(O151/K151,)</f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ht="14.45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>IFERROR(O152/K152,)</f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ht="14.45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>IFERROR(O153/K153,)</f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ht="14.45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>IFERROR(O154/K154,)</f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ht="14.45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>IFERROR(O155/K155,)</f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ht="14.45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ht="14.45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ht="14.45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>IFERROR(O158/K158,)</f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ht="14.45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>IFERROR(O159/K159,)</f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ht="14.45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>IFERROR(O160/K160,)</f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ht="14.45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>IFERROR(O161/K161,)</f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ht="14.45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>IFERROR(O162/K162,)</f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ht="14.45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>IFERROR(O163/K163,)</f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ht="14.45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ht="14.45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ht="14.45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ht="14.45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ht="14.45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ht="14.45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ht="14.45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ht="14.45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>IFERROR(O171/K171,)</f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ht="14.45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>IFERROR(O172/K172,)</f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ht="14.45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>IFERROR(O173/K173,)</f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ht="14.45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>IFERROR(O174/K174,)</f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ht="14.45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>IFERROR(O175/K175,)</f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ht="14.45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>IFERROR(O176/K176,)</f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ht="14.45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>IFERROR(O177/K177,)</f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ht="14.45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ht="14.45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ht="14.45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>IFERROR(O180/K180,)</f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ht="14.45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>IFERROR(O181/K181,)</f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ht="14.45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>IFERROR(O182/K182,)</f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ht="14.45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>IFERROR(O183/K183,)</f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ht="14.45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>IFERROR(O184/K184,)</f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ht="14.45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>IFERROR(O185/K185,)</f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ht="14.45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ht="14.45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ht="14.45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>IFERROR(O188/K188,)</f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ht="14.45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>IFERROR(O189/K189,)</f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ht="14.45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>IFERROR(O190/K190,)</f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ht="14.45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>IFERROR(O191/K191,)</f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ht="14.45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>IFERROR(O192/K192,)</f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ht="14.45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>IFERROR(O193/K193,)</f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ht="14.45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ht="14.45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ht="14.45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>IFERROR(O196/K196,)</f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ht="14.45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>IFERROR(O197/K197,)</f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ht="14.45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>IFERROR(O198/K198,)</f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ht="14.45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>IFERROR(O199/K199,)</f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ht="14.45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>IFERROR(O200/K200,)</f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ht="14.45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>IFERROR(O201/K201,)</f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ht="14.45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ht="14.45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ht="14.45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>IFERROR(O204/K204,)</f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ht="14.45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>IFERROR(O205/K205,)</f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ht="14.45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>IFERROR(O206/K206,)</f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ht="14.45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>IFERROR(O207/K207,)</f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ht="14.45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>IFERROR(O208/K208,)</f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ht="14.45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>IFERROR(O209/K209,)</f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ht="14.45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ht="14.45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ht="14.45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>IFERROR(O212/K212,)</f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ht="14.45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>IFERROR(O213/K213,)</f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ht="14.45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>IFERROR(O214/K214,)</f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ht="14.45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>IFERROR(O215/K215,)</f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ht="14.45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>IFERROR(O216/K216,)</f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ht="14.45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>IFERROR(O217/K217,)</f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ht="14.45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ht="14.45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ht="14.45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>IFERROR(O220/K220,)</f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ht="14.45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>IFERROR(O221/K221,)</f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ht="14.45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>IFERROR(O222/K222,)</f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ht="14.45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>IFERROR(O223/K223,)</f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ht="14.45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>IFERROR(O224/K224,)</f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ht="14.45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>IFERROR(O225/K225,)</f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ht="14.45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>IFERROR(O226/K226,)</f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ht="14.45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>IFERROR(O227/K227,)</f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ht="14.45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>IFERROR(O228/K228,)</f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ht="14.45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>IFERROR(O229/K229,)</f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ht="14.45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>IFERROR(O230/K230,)</f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ht="14.45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>IFERROR(O231/K231,)</f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ht="14.45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>IFERROR(O232/K232,)</f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ht="14.45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>IFERROR(O233/K233,)</f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ht="14.45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>IFERROR(O234/K234,)</f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ht="14.45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>IFERROR(O235/K235,)</f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ht="14.45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>IFERROR(O236/K236,)</f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ht="14.45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>IFERROR(O237/K237,)</f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ht="14.45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>IFERROR(O238/K238,)</f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ht="14.45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>IFERROR(O239/K239,)</f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ht="14.45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>IFERROR(O240/K240,)</f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ht="14.45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ht="14.45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ht="14.45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>IFERROR(O243/K243,)</f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ht="14.45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>IFERROR(O244/K244,)</f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ht="14.45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>IFERROR(O245/K245,)</f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ht="14.45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>IFERROR(O246/K246,)</f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ht="14.45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>IFERROR(O247/K247,)</f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ht="14.45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>IFERROR(O248/K248,)</f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ht="14.45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ht="14.45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ht="14.45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>IFERROR(O251/K251,)</f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ht="14.45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>IFERROR(O252/K252,)</f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ht="14.45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>IFERROR(O253/K253,)</f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ht="14.45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>IFERROR(O254/K254,)</f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ht="14.45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>IFERROR(O255/K255,)</f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ht="14.45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>IFERROR(O256/K256,)</f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ht="14.45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ht="14.45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ht="14.45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>IFERROR(O259/K259,)</f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ht="14.45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>IFERROR(O260/K260,)</f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ht="14.45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>IFERROR(O261/K261,)</f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ht="14.45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>IFERROR(O262/K262,)</f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ht="14.45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>IFERROR(O263/K263,)</f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ht="14.45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>IFERROR(O264/K264,)</f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ht="14.45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ht="14.45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ht="14.45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>IFERROR(O267/K267,)</f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ht="14.45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>IFERROR(O268/K268,)</f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ht="14.45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>IFERROR(O269/K269,)</f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ht="14.45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>IFERROR(O270/K270,)</f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ht="14.45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>IFERROR(O271/K271,)</f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ht="14.45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>IFERROR(O272/K272,)</f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ht="14.45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ht="14.45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ht="14.45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>IFERROR(O275/K275,)</f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ht="14.45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>IFERROR(O276/K276,)</f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ht="14.45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>IFERROR(O277/K277,)</f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ht="14.45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>IFERROR(O278/K278,)</f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ht="14.45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>IFERROR(O279/K279,)</f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ht="14.45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>IFERROR(O280/K280,)</f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ht="14.45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ht="14.45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ht="14.45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ht="14.45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>IFERROR(O284/K284,)</f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ht="14.45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>IFERROR(O285/K285,)</f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ht="14.45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>IFERROR(O286/K286,)</f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ht="14.45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>IFERROR(O287/K287,)</f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ht="14.45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>IFERROR(O288/K288,)</f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ht="14.45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>IFERROR(O289/K289,)</f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ht="14.45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>IFERROR(O290/K290,)</f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ht="14.45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>IFERROR(O291/K291,)</f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ht="14.45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>IFERROR(O292/K292,)</f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ht="14.45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>IFERROR(O293/K293,)</f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ht="14.45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>IFERROR(O294/K294,)</f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ht="14.45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>IFERROR(O295/K295,)</f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ht="14.45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ht="14.45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ht="14.45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>IFERROR(O298/K298,)</f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ht="14.45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>IFERROR(O299/K299,)</f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ht="14.45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>IFERROR(O300/K300,)</f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ht="14.45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>IFERROR(O301/K301,)</f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ht="14.45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>IFERROR(O302/K302,)</f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ht="14.45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>IFERROR(O303/K303,)</f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ht="14.45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>IFERROR(O304/K304,)</f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ht="14.45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>IFERROR(O305/K305,)</f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ht="14.45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>IFERROR(O306/K306,)</f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ht="14.45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>IFERROR(O307/K307,)</f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ht="14.45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>IFERROR(O308/K308,)</f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ht="14.45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>IFERROR(O309/K309,)</f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ht="14.45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>IFERROR(O310/K310,)</f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ht="14.45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ht="14.45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ht="14.45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>IFERROR(O313/K313,)</f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ht="14.45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>IFERROR(O314/K314,)</f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ht="14.45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>IFERROR(O315/K315,)</f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ht="14.45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>IFERROR(O316/K316,)</f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ht="14.45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>IFERROR(O317/K317,)</f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ht="14.45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>IFERROR(O318/K318,)</f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ht="14.45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>IFERROR(O319/K319,)</f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ht="14.45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>IFERROR(O320/K320,)</f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ht="14.45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>IFERROR(O321/K321,)</f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ht="14.45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>IFERROR(O322/K322,)</f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ht="14.45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>IFERROR(O323/K323,)</f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ht="14.45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>IFERROR(O324/K324,)</f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ht="14.45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>IFERROR(O325/K325,)</f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ht="14.45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ht="14.45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ht="14.45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ht="14.45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>IFERROR(O329/K329,)</f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ht="14.45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>IFERROR(O330/K330,)</f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ht="14.45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>IFERROR(O331/K331,)</f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ht="14.45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>IFERROR(O332/K332,)</f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ht="14.45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>IFERROR(O333/K333,)</f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ht="14.45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>IFERROR(O334/K334,)</f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ht="14.45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>IFERROR(O335/K335,)</f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ht="14.45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>IFERROR(O336/K336,)</f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ht="14.45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>IFERROR(O337/K337,)</f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ht="14.45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>IFERROR(O338/K338,)</f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ht="14.45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>IFERROR(O339/K339,)</f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ht="14.45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>IFERROR(O340/K340,)</f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ht="14.45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>IFERROR(O341/K341,)</f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ht="14.45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>IFERROR(O342/K342,)</f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ht="14.45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>IFERROR(O343/K343,)</f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ht="14.45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>IFERROR(O344/K344,)</f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ht="14.45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>IFERROR(O345/K345,)</f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ht="14.45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>IFERROR(O346/K346,)</f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ht="14.45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>IFERROR(O347/K347,)</f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ht="14.45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>IFERROR(O348/K348,)</f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ht="14.45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>IFERROR(O349/K349,)</f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ht="14.45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ht="14.45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ht="14.45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>IFERROR(O352/K352,)</f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ht="14.45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>IFERROR(O353/K353,)</f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ht="14.45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>IFERROR(O354/K354,)</f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ht="14.45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>IFERROR(O355/K355,)</f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ht="14.45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>IFERROR(O356/K356,)</f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ht="14.45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>IFERROR(O357/K357,)</f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ht="14.45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>IFERROR(O358/K358,)</f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ht="14.45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>IFERROR(O359/K359,)</f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ht="14.45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>IFERROR(O360/K360,)</f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ht="14.45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>IFERROR(O361/K361,)</f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ht="14.45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>IFERROR(O362/K362,)</f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ht="14.45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>IFERROR(O363/K363,)</f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ht="14.45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>IFERROR(O364/K364,)</f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ht="14.45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ht="14.45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ht="14.45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>IFERROR(O367/K367,)</f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ht="14.45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>IFERROR(O368/K368,)</f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ht="14.45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>IFERROR(O369/K369,)</f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ht="14.45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>IFERROR(O370/K370,)</f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ht="14.45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>IFERROR(O371/K371,)</f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ht="14.45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>IFERROR(O372/K372,)</f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ht="14.45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ht="14.45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ht="14.45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>IFERROR(O375/K375,)</f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ht="14.45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>IFERROR(O376/K376,)</f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ht="14.45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>IFERROR(O377/K377,)</f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ht="14.45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>IFERROR(O378/K378,)</f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ht="14.45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>IFERROR(O379/K379,)</f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ht="14.45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>IFERROR(O380/K380,)</f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ht="14.45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>IFERROR(O381/K381,)</f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ht="14.45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>IFERROR(O382/K382,)</f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ht="14.45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>IFERROR(O383/K383,)</f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ht="14.45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>IFERROR(O384/K384,)</f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ht="14.45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>IFERROR(O385/K385,)</f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ht="14.45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>IFERROR(O386/K386,)</f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ht="14.45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>IFERROR(O387/K387,)</f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ht="14.45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>IFERROR(O388/K388,)</f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ht="14.45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>IFERROR(O389/K389,)</f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ht="14.45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>IFERROR(O390/K390,)</f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ht="14.45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>IFERROR(O391/K391,)</f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ht="14.45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>IFERROR(O392/K392,)</f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ht="14.45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>IFERROR(O393/K393,)</f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ht="14.45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>IFERROR(O394/K394,)</f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ht="14.45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>IFERROR(O395/K395,)</f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ht="14.45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>IFERROR(O396/K396,)</f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ht="14.45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>IFERROR(O397/K397,)</f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ht="14.45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>IFERROR(O398/K398,)</f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ht="14.45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>IFERROR(O399/K399,)</f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ht="14.45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>IFERROR(O400/K400,)</f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ht="14.45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>IFERROR(O401/K401,)</f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ht="14.45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>IFERROR(O402/K402,)</f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ht="14.45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>IFERROR(O403/K403,)</f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ht="14.45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>IFERROR(O404/K404,)</f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ht="14.45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>IFERROR(O405/K405,)</f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ht="14.45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>IFERROR(O406/K406,)</f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ht="14.45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>IFERROR(O407/K407,)</f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ht="14.45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>IFERROR(O408/K408,)</f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ht="14.45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>IFERROR(O409/K409,)</f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ht="14.45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ht="14.45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ht="14.45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>IFERROR(O412/K412,)</f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ht="14.45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>IFERROR(O413/K413,)</f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ht="14.45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>IFERROR(O414/K414,)</f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ht="14.45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>IFERROR(O415/K415,)</f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ht="14.45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>IFERROR(O416/K416,)</f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ht="14.45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>IFERROR(O417/K417,)</f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ht="14.45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>IFERROR(O418/K418,)</f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ht="14.45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>IFERROR(O419/K419,)</f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ht="14.45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>IFERROR(O420/K420,)</f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ht="14.45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>IFERROR(O421/K421,)</f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ht="14.45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>IFERROR(O422/K422,)</f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ht="14.45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>IFERROR(O423/K423,)</f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ht="14.45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>IFERROR(O424/K424,)</f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ht="14.45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>IFERROR(O425/K425,)</f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ht="14.45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>IFERROR(O426/K426,)</f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ht="14.45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>IFERROR(O427/K427,)</f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ht="14.45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>IFERROR(O428/K428,)</f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ht="14.45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>IFERROR(O429/K429,)</f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ht="14.45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>IFERROR(O430/K430,)</f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ht="14.45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>IFERROR(O431/K431,)</f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ht="14.45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>IFERROR(O432/K432,)</f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ht="14.45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>IFERROR(O433/K433,)</f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ht="14.45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>IFERROR(O434/K434,)</f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ht="14.45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>IFERROR(O435/K435,)</f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ht="14.45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>IFERROR(O436/K436,)</f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ht="14.45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>IFERROR(O437/K437,)</f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ht="14.45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>IFERROR(O438/K438,)</f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ht="14.45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>IFERROR(O439/K439,)</f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ht="14.45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>IFERROR(O440/K440,)</f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ht="14.45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>IFERROR(O441/K441,)</f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ht="14.45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>IFERROR(O442/K442,)</f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ht="14.45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ht="14.45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>IFERROR(O444/K444,)</f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ht="14.45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>IFERROR(O445/K445,)</f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ht="14.45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>IFERROR(O446/K446,)</f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ht="14.45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>IFERROR(O447/K447,)</f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ht="14.45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>IFERROR(O448/K448,)</f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ht="14.45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>IFERROR(O449/K449,)</f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ht="14.45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>IFERROR(O450/K450,)</f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ht="14.45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>IFERROR(O451/K451,)</f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ht="14.45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>IFERROR(O452/K452,)</f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ht="14.45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>IFERROR(O453/K453,)</f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ht="14.45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>IFERROR(O454/K454,)</f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ht="14.45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>IFERROR(O455/K455,)</f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ht="14.45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>IFERROR(O456/K456,)</f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ht="14.45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>IFERROR(O457/K457,)</f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ht="14.45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>IFERROR(O458/K458,)</f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ht="14.45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>IFERROR(O459/K459,)</f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ht="14.45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>IFERROR(O460/K460,)</f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ht="14.45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>IFERROR(O461/K461,)</f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ht="14.45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>IFERROR(O462/K462,)</f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ht="14.45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>IFERROR(O463/K463,)</f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ht="14.45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>IFERROR(O464/K464,)</f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ht="14.45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>IFERROR(O465/K465,)</f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ht="14.45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ht="14.45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ht="14.45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>IFERROR(O468/K468,)</f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ht="14.45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>IFERROR(O469/K469,)</f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ht="14.45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>IFERROR(O470/K470,)</f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ht="14.45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>IFERROR(O471/K471,)</f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ht="14.45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>IFERROR(O472/K472,)</f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ht="14.45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>IFERROR(O473/K473,)</f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ht="14.45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>IFERROR(O474/K474,)</f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ht="14.45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ht="14.45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ht="14.45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>IFERROR(O477/K477,)</f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ht="14.45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>IFERROR(O478/K478,)</f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ht="14.45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>IFERROR(O479/K479,)</f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ht="14.45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>IFERROR(O480/K480,)</f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ht="14.45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>IFERROR(O481/K481,)</f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ht="14.45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>IFERROR(O482/K482,)</f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ht="14.45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>IFERROR(O483/K483,)</f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ht="14.45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>IFERROR(O484/K484,)</f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ht="14.45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>IFERROR(O485/K485,)</f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ht="14.45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>IFERROR(O486/K486,)</f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ht="14.45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>IFERROR(O487/K487,)</f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ht="14.45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>IFERROR(O488/K488,)</f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ht="14.45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>IFERROR(O489/K489,)</f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ht="14.45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>IFERROR(O490/K490,)</f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ht="14.45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>IFERROR(O491/K491,)</f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ht="14.45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>IFERROR(O492/K492,)</f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ht="14.45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>IFERROR(O493/K493,)</f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ht="14.45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>IFERROR(O494/K494,)</f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ht="14.45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>IFERROR(O495/K495,)</f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ht="14.45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>IFERROR(O496/K496,)</f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ht="14.45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>IFERROR(O497/K497,)</f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ht="14.45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>IFERROR(O498/K498,)</f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ht="14.45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>IFERROR(O499/K499,)</f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ht="14.45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>IFERROR(O500/K500,)</f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ht="14.45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>IFERROR(O501/K501,)</f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ht="14.45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>IFERROR(O502/K502,)</f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ht="14.45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>IFERROR(O503/K503,)</f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ht="14.45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>IFERROR(O504/K504,)</f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ht="14.45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>IFERROR(O505/K505,)</f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ht="14.45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>IFERROR(O506/K506,)</f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ht="14.45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>IFERROR(O507/K507,)</f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ht="14.45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>IFERROR(O508/K508,)</f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ht="14.45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>IFERROR(O509/K509,)</f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ht="14.45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>IFERROR(O510/K510,)</f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ht="14.45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>IFERROR(O511/K511,)</f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ht="14.45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>IFERROR(O512/K512,)</f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ht="14.45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>IFERROR(O513/K513,)</f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ht="14.45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>IFERROR(O514/K514,)</f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ht="14.45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>IFERROR(O515/K515,)</f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ht="14.45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>IFERROR(O516/K516,)</f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ht="14.45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>IFERROR(O517/K517,)</f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ht="14.45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>IFERROR(O518/K518,)</f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ht="14.45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>IFERROR(O519/K519,)</f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ht="14.45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>15000/7</f>
        <v>2142.8571428571427</v>
      </c>
      <c r="I520" s="6">
        <f>IFERROR(O520/K520,)</f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ht="14.45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>15000/7</f>
        <v>2142.8571428571427</v>
      </c>
      <c r="I521" s="6">
        <f>IFERROR(O521/K521,)</f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ht="14.45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>15000/7</f>
        <v>2142.8571428571427</v>
      </c>
      <c r="I522" s="6">
        <f>IFERROR(O522/K522,)</f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ht="14.45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>15000/7</f>
        <v>2142.8571428571427</v>
      </c>
      <c r="I523" s="6">
        <f>IFERROR(O523/K523,)</f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ht="14.45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>15000/7</f>
        <v>2142.8571428571427</v>
      </c>
      <c r="I524" s="6">
        <f>IFERROR(O524/K524,)</f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ht="14.45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>15000/7</f>
        <v>2142.8571428571427</v>
      </c>
      <c r="I525" s="6">
        <f>IFERROR(O525/K525,)</f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ht="14.45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>15000/7</f>
        <v>2142.8571428571427</v>
      </c>
      <c r="I526" s="6">
        <f>IFERROR(O526/K526,)</f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ht="14.45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>IFERROR(O527/K527,)</f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ht="14.45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>15000/7</f>
        <v>2142.8571428571427</v>
      </c>
      <c r="I528" s="6">
        <f>IFERROR(O528/K528,)</f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ht="14.45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>15000/7</f>
        <v>2142.8571428571427</v>
      </c>
      <c r="I529" s="6">
        <f>IFERROR(O529/K529,)</f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ht="14.45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>15000/7</f>
        <v>2142.8571428571427</v>
      </c>
      <c r="I530" s="6">
        <f>IFERROR(O530/K530,)</f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ht="14.45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>15000/7</f>
        <v>2142.8571428571427</v>
      </c>
      <c r="I531" s="6">
        <f>IFERROR(O531/K531,)</f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ht="14.45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>15000/7</f>
        <v>2142.8571428571427</v>
      </c>
      <c r="I532" s="6">
        <f>IFERROR(O532/K532,)</f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ht="14.45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>15000/7</f>
        <v>2142.8571428571427</v>
      </c>
      <c r="I533" s="6">
        <f>IFERROR(O533/K533,)</f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ht="14.45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>15000/7</f>
        <v>2142.8571428571427</v>
      </c>
      <c r="I534" s="6">
        <f>IFERROR(O534/K534,)</f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ht="14.45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>IFERROR(O535/K535,)</f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ht="14.45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>15000/7</f>
        <v>2142.8571428571427</v>
      </c>
      <c r="I536" s="6">
        <f>IFERROR(O536/K536,)</f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ht="14.45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>15000/7</f>
        <v>2142.8571428571427</v>
      </c>
      <c r="I537" s="6">
        <f>IFERROR(O537/K537,)</f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ht="14.45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>15000/7</f>
        <v>2142.8571428571427</v>
      </c>
      <c r="I538" s="6">
        <f>IFERROR(O538/K538,)</f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ht="14.45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>15000/7</f>
        <v>2142.8571428571427</v>
      </c>
      <c r="I539" s="6">
        <f>IFERROR(O539/K539,)</f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ht="14.45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>15000/7</f>
        <v>2142.8571428571427</v>
      </c>
      <c r="I540" s="6">
        <f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ht="14.45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>15000/7</f>
        <v>2142.8571428571427</v>
      </c>
      <c r="I541" s="6">
        <f>IFERROR(O541/K541,)</f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ht="14.45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>15000/7</f>
        <v>2142.8571428571427</v>
      </c>
      <c r="I542" s="6">
        <f>IFERROR(O542/K542,)</f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ht="14.45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>IFERROR(O543/K543,)</f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ht="14.45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>IFERROR(O544/K544,)</f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ht="14.45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>IFERROR(O545/K545,)</f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ht="14.45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>15000/7</f>
        <v>2142.8571428571427</v>
      </c>
      <c r="I546" s="6">
        <f>IFERROR(O546/K546,)</f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ht="14.45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>15000/7</f>
        <v>2142.8571428571427</v>
      </c>
      <c r="I547" s="6">
        <f>IFERROR(O547/K547,)</f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ht="14.45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>15000/7</f>
        <v>2142.8571428571427</v>
      </c>
      <c r="I548" s="6">
        <f>IFERROR(O548/K548,)</f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ht="14.45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>15000/7</f>
        <v>2142.8571428571427</v>
      </c>
      <c r="I549" s="6">
        <f>IFERROR(O549/K549,)</f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ht="14.45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>15000/7</f>
        <v>2142.8571428571427</v>
      </c>
      <c r="I550" s="6">
        <f>IFERROR(O550/K550,)</f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ht="14.45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>15000/7</f>
        <v>2142.8571428571427</v>
      </c>
      <c r="I551" s="6">
        <f>IFERROR(O551/K551,)</f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ht="14.45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>IFERROR(O552/K552,)</f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ht="14.45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>IFERROR(O553/K553,)</f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ht="14.45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>IFERROR(O554/K554,)</f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ht="14.45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>IFERROR(O555/K555,)</f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ht="14.45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>IFERROR(O556/K556,)</f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ht="14.45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>IFERROR(O557/K557,)</f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ht="14.45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>IFERROR(O558/K558,)</f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ht="14.45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>IFERROR(O559/K559,)</f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ht="14.45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>15000/6</f>
        <v>2500</v>
      </c>
      <c r="I560" s="6">
        <f>IFERROR(O560/K560,)</f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ht="14.45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>15000/6</f>
        <v>2500</v>
      </c>
      <c r="I561" s="6">
        <f>IFERROR(O561/K561,)</f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ht="14.45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>15000/6</f>
        <v>2500</v>
      </c>
      <c r="I562" s="6">
        <f>IFERROR(O562/K562,)</f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ht="14.45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>15000/6</f>
        <v>2500</v>
      </c>
      <c r="I563" s="6">
        <f>IFERROR(O563/K563,)</f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ht="14.45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>15000/6</f>
        <v>2500</v>
      </c>
      <c r="I564" s="6">
        <f>IFERROR(O564/K564,)</f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ht="14.45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>15000/6</f>
        <v>2500</v>
      </c>
      <c r="I565" s="6">
        <f>IFERROR(O565/K565,)</f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ht="14.45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>IFERROR(O566/K566,)</f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ht="14.45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>IFERROR(O567/K567,)</f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ht="14.45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>15000/6</f>
        <v>2500</v>
      </c>
      <c r="I568" s="6">
        <f>IFERROR(O568/K568,)</f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ht="14.45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>15000/6</f>
        <v>2500</v>
      </c>
      <c r="I569" s="6">
        <f>IFERROR(O569/K569,)</f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ht="14.45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>15000/6</f>
        <v>2500</v>
      </c>
      <c r="I570" s="6">
        <f>IFERROR(O570/K570,)</f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ht="14.45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>15000/6</f>
        <v>2500</v>
      </c>
      <c r="I571" s="6">
        <f>IFERROR(O571/K571,)</f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ht="14.45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>15000/6</f>
        <v>2500</v>
      </c>
      <c r="I572" s="6">
        <f>IFERROR(O572/K572,)</f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ht="14.45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>15000/6</f>
        <v>2500</v>
      </c>
      <c r="I573" s="6">
        <f>IFERROR(O573/K573,)</f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ht="14.45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>IFERROR(O574/K574,)</f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ht="14.45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>IFERROR(O575/K575,)</f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ht="14.45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>IFERROR(O576/K576,)</f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ht="14.45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>IFERROR(O577/K577,)</f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ht="14.45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>IFERROR(O578/K578,)</f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ht="14.45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>IFERROR(O579/K579,)</f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ht="14.45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>IFERROR(O580/K580,)</f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ht="14.45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>IFERROR(O581/K581,)</f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ht="14.45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>IFERROR(O582/K582,)</f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ht="14.45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>IFERROR(O583/K583,)</f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ht="14.45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>15000/7</f>
        <v>2142.8571428571427</v>
      </c>
      <c r="I584" s="6">
        <f>IFERROR(O584/K584,)</f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ht="14.45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>15000/7</f>
        <v>2142.8571428571427</v>
      </c>
      <c r="I585" s="6">
        <f>IFERROR(O585/K585,)</f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ht="14.45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>15000/7</f>
        <v>2142.8571428571427</v>
      </c>
      <c r="I586" s="6">
        <f>IFERROR(O586/K586,)</f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ht="14.45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>15000/7</f>
        <v>2142.8571428571427</v>
      </c>
      <c r="I587" s="6">
        <f>IFERROR(O587/K587,)</f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ht="14.45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>15000/7</f>
        <v>2142.8571428571427</v>
      </c>
      <c r="I588" s="6">
        <f>IFERROR(O588/K588,)</f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ht="14.45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>15000/7</f>
        <v>2142.8571428571427</v>
      </c>
      <c r="I589" s="6">
        <f>IFERROR(O589/K589,)</f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ht="14.45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>IFERROR(O590/K590,)</f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ht="14.45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>15000/7</f>
        <v>2142.8571428571427</v>
      </c>
      <c r="I591" s="6">
        <f>IFERROR(O591/K591,)</f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ht="14.45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>15000/7</f>
        <v>2142.8571428571427</v>
      </c>
      <c r="I592" s="6">
        <f>IFERROR(O592/K592,)</f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ht="14.45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>15000/7</f>
        <v>2142.8571428571427</v>
      </c>
      <c r="I593" s="6">
        <f>IFERROR(O593/K593,)</f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ht="14.45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>15000/7</f>
        <v>2142.8571428571427</v>
      </c>
      <c r="I594" s="6">
        <f>IFERROR(O594/K594,)</f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ht="14.45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>15000/7</f>
        <v>2142.8571428571427</v>
      </c>
      <c r="I595" s="6">
        <f>IFERROR(O595/K595,)</f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ht="14.45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>15000/7</f>
        <v>2142.8571428571427</v>
      </c>
      <c r="I596" s="6">
        <f>IFERROR(O596/K596,)</f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ht="14.45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>15000/7</f>
        <v>2142.8571428571427</v>
      </c>
      <c r="I597" s="6">
        <f>IFERROR(O597/K597,)</f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ht="14.45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>IFERROR(O598/K598,)</f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ht="14.45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>IFERROR(O599/K599,)</f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ht="14.45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>15000/6</f>
        <v>2500</v>
      </c>
      <c r="I600" s="6">
        <f>IFERROR(O600/K600,)</f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ht="14.45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>15000/6</f>
        <v>2500</v>
      </c>
      <c r="I601" s="6">
        <f>IFERROR(O601/K601,)</f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ht="14.45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>15000/6</f>
        <v>2500</v>
      </c>
      <c r="I602" s="6">
        <f>IFERROR(O602/K602,)</f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ht="14.45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>15000/6</f>
        <v>2500</v>
      </c>
      <c r="I603" s="6">
        <f>IFERROR(O603/K603,)</f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ht="14.45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>15000/6</f>
        <v>2500</v>
      </c>
      <c r="I604" s="6">
        <f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ht="14.45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>15000/6</f>
        <v>2500</v>
      </c>
      <c r="I605" s="6">
        <f>IFERROR(O605/K605,)</f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ht="14.45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>IFERROR(O606/K606,)</f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ht="14.45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>IFERROR(O607/K607,)</f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ht="14.45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>IFERROR(O608/K608,)</f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ht="14.45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>IFERROR(O609/K609,)</f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ht="14.45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>IFERROR(O610/K610,)</f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ht="14.45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>IFERROR(O611/K611,)</f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ht="14.45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>IFERROR(O612/K612,)</f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ht="14.45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>IFERROR(O613/K613,)</f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ht="14.45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>IFERROR(O614/K614,)</f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ht="14.45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>IFERROR(O615/K615,)</f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ht="14.45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>15000/6</f>
        <v>2500</v>
      </c>
      <c r="I616" s="6">
        <f>IFERROR(O616/K616,)</f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ht="14.45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>15000/6</f>
        <v>2500</v>
      </c>
      <c r="I617" s="6">
        <f>IFERROR(O617/K617,)</f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ht="14.45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>15000/6</f>
        <v>2500</v>
      </c>
      <c r="I618" s="6">
        <f>IFERROR(O618/K618,)</f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ht="14.45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>15000/6</f>
        <v>2500</v>
      </c>
      <c r="I619" s="6">
        <f>IFERROR(O619/K619,)</f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ht="14.45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>15000/6</f>
        <v>2500</v>
      </c>
      <c r="I620" s="6">
        <f>IFERROR(O620/K620,)</f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ht="14.45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>15000/6</f>
        <v>2500</v>
      </c>
      <c r="I621" s="6">
        <f>IFERROR(O621/K621,)</f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ht="14.45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>IFERROR(O622/K622,)</f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ht="14.45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>IFERROR(O623/K623,)</f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ht="14.45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>IFERROR(O624/K624,)</f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ht="14.45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>IFERROR(O625/K625,)</f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ht="14.45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>IFERROR(O626/K626,)</f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ht="14.45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>15000/5</f>
        <v>3000</v>
      </c>
      <c r="I627" s="6">
        <f>IFERROR(O627/K627,)</f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ht="14.45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>15000/5</f>
        <v>3000</v>
      </c>
      <c r="I628" s="6">
        <f>IFERROR(O628/K628,)</f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ht="14.45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>15000/5</f>
        <v>3000</v>
      </c>
      <c r="I629" s="6">
        <f>IFERROR(O629/K629,)</f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ht="14.45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>IFERROR(O630/K630,)</f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ht="14.45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>IFERROR(O631/K631,)</f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ht="14.45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>IFERROR(O632/K632,)</f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ht="14.45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>IFERROR(O633/K633,)</f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ht="14.45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>IFERROR(O634/K634,)</f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ht="14.45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>15000/6</f>
        <v>2500</v>
      </c>
      <c r="I635" s="6">
        <f>IFERROR(O635/K635,)</f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ht="14.45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>15000/6</f>
        <v>2500</v>
      </c>
      <c r="I636" s="6">
        <f>IFERROR(O636/K636,)</f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ht="14.45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>15000/6</f>
        <v>2500</v>
      </c>
      <c r="I637" s="6">
        <f>IFERROR(O637/K637,)</f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ht="14.45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>IFERROR(O638/K638,)</f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ht="14.45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>15000/6</f>
        <v>2500</v>
      </c>
      <c r="I639" s="6">
        <f>IFERROR(O639/K639,)</f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ht="14.45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>15000/6</f>
        <v>2500</v>
      </c>
      <c r="I640" s="6">
        <f>IFERROR(O640/K640,)</f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ht="14.45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>IFERROR(O641/K641,)</f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ht="14.45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>15000/6</f>
        <v>2500</v>
      </c>
      <c r="I642" s="6">
        <f>IFERROR(O642/K642,)</f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ht="14.45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>15000/6</f>
        <v>2500</v>
      </c>
      <c r="I643" s="6">
        <f>IFERROR(O643/K643,)</f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ht="14.45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>15000/6</f>
        <v>2500</v>
      </c>
      <c r="I644" s="6">
        <f>IFERROR(O644/K644,)</f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ht="14.45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>15000/6</f>
        <v>2500</v>
      </c>
      <c r="I645" s="6">
        <f>IFERROR(O645/K645,)</f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ht="14.45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>IFERROR(O646/K646,)</f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ht="14.45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>15000/6</f>
        <v>2500</v>
      </c>
      <c r="I647" s="6">
        <f>IFERROR(O647/K647,)</f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ht="14.45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>15000/7</f>
        <v>2142.8571428571427</v>
      </c>
      <c r="I648" s="6">
        <f>IFERROR(O648/K648,)</f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ht="14.45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>15000/7</f>
        <v>2142.8571428571427</v>
      </c>
      <c r="I649" s="6">
        <f>IFERROR(O649/K649,)</f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ht="14.45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>15000/7</f>
        <v>2142.8571428571427</v>
      </c>
      <c r="I650" s="6">
        <f>IFERROR(O650/K650,)</f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ht="14.45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>15000/7</f>
        <v>2142.8571428571427</v>
      </c>
      <c r="I651" s="6">
        <f>IFERROR(O651/K651,)</f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ht="14.45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>15000/7</f>
        <v>2142.8571428571427</v>
      </c>
      <c r="I652" s="6">
        <f>IFERROR(O652/K652,)</f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ht="14.45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>15000/7</f>
        <v>2142.8571428571427</v>
      </c>
      <c r="I653" s="6">
        <f>IFERROR(O653/K653,)</f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ht="14.45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>IFERROR(O654/K654,)</f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ht="14.45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>15000/7</f>
        <v>2142.8571428571427</v>
      </c>
      <c r="I655" s="6">
        <f>IFERROR(O655/K655,)</f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ht="14.45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>15000/7</f>
        <v>2142.8571428571427</v>
      </c>
      <c r="I656" s="6">
        <f>IFERROR(O656/K656,)</f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ht="14.45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>15000/7</f>
        <v>2142.8571428571427</v>
      </c>
      <c r="I657" s="6">
        <f>IFERROR(O657/K657,)</f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ht="14.45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>15000/7</f>
        <v>2142.8571428571427</v>
      </c>
      <c r="I658" s="6">
        <f>IFERROR(O658/K658,)</f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ht="14.45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>15000/7</f>
        <v>2142.8571428571427</v>
      </c>
      <c r="I659" s="6">
        <f>IFERROR(O659/K659,)</f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ht="14.45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>15000/7</f>
        <v>2142.8571428571427</v>
      </c>
      <c r="I660" s="6">
        <f>IFERROR(O660/K660,)</f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ht="14.45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>15000/7</f>
        <v>2142.8571428571427</v>
      </c>
      <c r="I661" s="6">
        <f>IFERROR(O661/K661,)</f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ht="14.45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>IFERROR(O662/K662,)</f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ht="14.45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>15000/7</f>
        <v>2142.8571428571427</v>
      </c>
      <c r="I663" s="6">
        <f>IFERROR(O663/K663,)</f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ht="14.45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>IFERROR(O664/K664,)</f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ht="14.45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>IFERROR(O665/K665,)</f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ht="14.45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>IFERROR(O666/K666,)</f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ht="14.45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>IFERROR(O667/K667,)</f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ht="14.45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>IFERROR(O668/K668,)</f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ht="14.45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>IFERROR(O669/K669,)</f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ht="14.45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>IFERROR(O670/K670,)</f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ht="14.45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>IFERROR(O671/K671,)</f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>
        <f>15000/6</f>
        <v>2500</v>
      </c>
      <c r="I672" s="6">
        <f>IFERROR(O672/K672,)</f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>IFERROR(O673/K673,)</f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>
        <f>15000/6</f>
        <v>2500</v>
      </c>
      <c r="I674" s="6">
        <f>IFERROR(O674/K674,)</f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 x14ac:dyDescent="0.25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>
        <f>15000/6</f>
        <v>2500</v>
      </c>
      <c r="I675" s="6">
        <f>IFERROR(O675/K675,)</f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 x14ac:dyDescent="0.25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>
        <f>15000/6</f>
        <v>2500</v>
      </c>
      <c r="I676" s="6">
        <f>IFERROR(O676/K676,)</f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>
        <f>15000/6</f>
        <v>2500</v>
      </c>
      <c r="I677" s="6">
        <f>IFERROR(O677/K677,)</f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>
        <f>24000/7</f>
        <v>3428.5714285714284</v>
      </c>
      <c r="I678" s="6">
        <f>IFERROR(O678/K678,)</f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 x14ac:dyDescent="0.25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>
        <f>15000/6</f>
        <v>2500</v>
      </c>
      <c r="I679" s="6">
        <f>IFERROR(O679/K679,)</f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>
        <f>15000/5</f>
        <v>3000</v>
      </c>
      <c r="I680" s="6">
        <f>IFERROR(O680/K680,)</f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>IFERROR(O681/K681,)</f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>IFERROR(O682/K682,)</f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 x14ac:dyDescent="0.25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>
        <f>15000/5</f>
        <v>3000</v>
      </c>
      <c r="I683" s="6">
        <f>IFERROR(O683/K683,)</f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 x14ac:dyDescent="0.25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>
        <f>15000/5</f>
        <v>3000</v>
      </c>
      <c r="I684" s="6">
        <f>IFERROR(O684/K684,)</f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 x14ac:dyDescent="0.25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>
        <f>15000/5</f>
        <v>3000</v>
      </c>
      <c r="I685" s="6">
        <f>IFERROR(O685/K685,)</f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>
        <f>24000/7</f>
        <v>3428.5714285714284</v>
      </c>
      <c r="I686" s="6">
        <f>IFERROR(O686/K686,)</f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 x14ac:dyDescent="0.25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>
        <f>15000/5</f>
        <v>3000</v>
      </c>
      <c r="I687" s="6">
        <f>IFERROR(O687/K687,)</f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 x14ac:dyDescent="0.25">
      <c r="A688" s="81">
        <v>46232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>
        <f>15000/5</f>
        <v>3000</v>
      </c>
      <c r="I688" s="6">
        <f>IFERROR(O688/K688,)</f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2388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2389</v>
      </c>
      <c r="W688" s="2" t="s">
        <v>2390</v>
      </c>
      <c r="X688" s="2" t="s">
        <v>2391</v>
      </c>
      <c r="Y688" s="2" t="s">
        <v>2392</v>
      </c>
      <c r="Z688" s="2" t="s">
        <v>800</v>
      </c>
      <c r="AA688" s="2" t="s">
        <v>548</v>
      </c>
      <c r="AB688" s="2" t="s">
        <v>2393</v>
      </c>
    </row>
    <row r="689" spans="1:28" x14ac:dyDescent="0.25">
      <c r="A689" s="81">
        <v>46232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>IFERROR(O689/K689,)</f>
        <v>0</v>
      </c>
      <c r="J689" s="2" t="s">
        <v>2394</v>
      </c>
      <c r="K689" s="2">
        <v>0.56999999999999995</v>
      </c>
      <c r="L689" s="2" t="s">
        <v>652</v>
      </c>
      <c r="M689" s="2" t="s">
        <v>2395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2396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x14ac:dyDescent="0.25">
      <c r="A690" s="81">
        <v>46232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>IFERROR(O690/K690,)</f>
        <v>255.10835913312692</v>
      </c>
      <c r="J690" s="2" t="s">
        <v>604</v>
      </c>
      <c r="K690" s="2">
        <v>6.46</v>
      </c>
      <c r="L690" s="2" t="s">
        <v>1117</v>
      </c>
      <c r="M690" s="2" t="s">
        <v>2397</v>
      </c>
      <c r="N690" s="2" t="s">
        <v>2398</v>
      </c>
      <c r="O690" s="56">
        <v>1648</v>
      </c>
      <c r="P690" s="2" t="s">
        <v>2399</v>
      </c>
      <c r="Q690" s="2" t="s">
        <v>2400</v>
      </c>
      <c r="R690" s="2" t="s">
        <v>1132</v>
      </c>
      <c r="S690" s="2" t="s">
        <v>1256</v>
      </c>
      <c r="T690" s="2" t="s">
        <v>2401</v>
      </c>
      <c r="U690" s="2" t="s">
        <v>1059</v>
      </c>
      <c r="V690" s="2" t="s">
        <v>2402</v>
      </c>
      <c r="W690" s="2" t="s">
        <v>2403</v>
      </c>
      <c r="X690" s="2" t="s">
        <v>2404</v>
      </c>
      <c r="Y690" s="2" t="s">
        <v>2405</v>
      </c>
      <c r="Z690" s="2" t="s">
        <v>621</v>
      </c>
      <c r="AA690" s="2" t="s">
        <v>548</v>
      </c>
      <c r="AB690" s="2" t="s">
        <v>2406</v>
      </c>
    </row>
    <row r="691" spans="1:28" x14ac:dyDescent="0.25">
      <c r="A691" s="81">
        <v>46232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>
        <f>15000/5</f>
        <v>3000</v>
      </c>
      <c r="I691" s="6">
        <f>IFERROR(O691/K691,)</f>
        <v>376.31578947368422</v>
      </c>
      <c r="J691" s="2" t="s">
        <v>2407</v>
      </c>
      <c r="K691" s="2">
        <v>7.6</v>
      </c>
      <c r="L691" s="2" t="s">
        <v>1064</v>
      </c>
      <c r="M691" s="2" t="s">
        <v>2408</v>
      </c>
      <c r="N691" s="2" t="s">
        <v>2409</v>
      </c>
      <c r="O691" s="56">
        <v>2860</v>
      </c>
      <c r="P691" s="2" t="s">
        <v>2410</v>
      </c>
      <c r="Q691" s="2" t="s">
        <v>2411</v>
      </c>
      <c r="R691" s="2" t="s">
        <v>2412</v>
      </c>
      <c r="S691" s="2" t="s">
        <v>685</v>
      </c>
      <c r="T691" s="2" t="s">
        <v>1887</v>
      </c>
      <c r="U691" s="2" t="s">
        <v>2413</v>
      </c>
      <c r="V691" s="2" t="s">
        <v>2414</v>
      </c>
      <c r="W691" s="2" t="s">
        <v>2415</v>
      </c>
      <c r="X691" s="2" t="s">
        <v>2416</v>
      </c>
      <c r="Y691" s="2" t="s">
        <v>2417</v>
      </c>
      <c r="Z691" s="2" t="s">
        <v>652</v>
      </c>
      <c r="AA691" s="2" t="s">
        <v>548</v>
      </c>
      <c r="AB691" s="2" t="s">
        <v>2418</v>
      </c>
    </row>
    <row r="692" spans="1:28" x14ac:dyDescent="0.25">
      <c r="A692" s="81">
        <v>46232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>
        <f>15000/5</f>
        <v>3000</v>
      </c>
      <c r="I692" s="6">
        <f>IFERROR(O692/K692,)</f>
        <v>242.88659793814435</v>
      </c>
      <c r="J692" s="2" t="s">
        <v>2419</v>
      </c>
      <c r="K692" s="2">
        <v>9.6999999999999993</v>
      </c>
      <c r="L692" s="2" t="s">
        <v>777</v>
      </c>
      <c r="M692" s="2" t="s">
        <v>2420</v>
      </c>
      <c r="N692" s="2" t="s">
        <v>2421</v>
      </c>
      <c r="O692" s="56">
        <v>2356</v>
      </c>
      <c r="P692" s="2" t="s">
        <v>2297</v>
      </c>
      <c r="Q692" s="2" t="s">
        <v>2422</v>
      </c>
      <c r="R692" s="2" t="s">
        <v>2423</v>
      </c>
      <c r="S692" s="2" t="s">
        <v>961</v>
      </c>
      <c r="T692" s="2" t="s">
        <v>1317</v>
      </c>
      <c r="U692" s="2" t="s">
        <v>2424</v>
      </c>
      <c r="V692" s="2" t="s">
        <v>2425</v>
      </c>
      <c r="W692" s="2" t="s">
        <v>2426</v>
      </c>
      <c r="X692" s="2" t="s">
        <v>2427</v>
      </c>
      <c r="Y692" s="2" t="s">
        <v>2428</v>
      </c>
      <c r="Z692" s="2" t="s">
        <v>1502</v>
      </c>
      <c r="AA692" s="2" t="s">
        <v>548</v>
      </c>
      <c r="AB692" s="2" t="s">
        <v>2429</v>
      </c>
    </row>
    <row r="693" spans="1:28" x14ac:dyDescent="0.25">
      <c r="A693" s="81">
        <v>46232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>
        <f>15000/5</f>
        <v>3000</v>
      </c>
      <c r="I693" s="6">
        <f>IFERROR(O693/K693,)</f>
        <v>483.44155844155841</v>
      </c>
      <c r="J693" s="2" t="s">
        <v>2430</v>
      </c>
      <c r="K693" s="2">
        <v>9.24</v>
      </c>
      <c r="L693" s="2" t="s">
        <v>971</v>
      </c>
      <c r="M693" s="2" t="s">
        <v>2431</v>
      </c>
      <c r="N693" s="2" t="s">
        <v>2432</v>
      </c>
      <c r="O693" s="56">
        <v>4467</v>
      </c>
      <c r="P693" s="2" t="s">
        <v>1015</v>
      </c>
      <c r="Q693" s="2" t="s">
        <v>2433</v>
      </c>
      <c r="R693" s="2" t="s">
        <v>2434</v>
      </c>
      <c r="S693" s="2" t="s">
        <v>1415</v>
      </c>
      <c r="T693" s="2" t="s">
        <v>1338</v>
      </c>
      <c r="U693" s="2" t="s">
        <v>1076</v>
      </c>
      <c r="V693" s="2" t="s">
        <v>2435</v>
      </c>
      <c r="W693" s="2" t="s">
        <v>2436</v>
      </c>
      <c r="X693" s="2" t="s">
        <v>2437</v>
      </c>
      <c r="Y693" s="2" t="s">
        <v>2438</v>
      </c>
      <c r="Z693" s="2" t="s">
        <v>548</v>
      </c>
      <c r="AA693" s="2" t="s">
        <v>548</v>
      </c>
      <c r="AB693" s="2" t="s">
        <v>2238</v>
      </c>
    </row>
    <row r="694" spans="1:28" x14ac:dyDescent="0.25">
      <c r="A694" s="81">
        <v>46232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>
        <f>24000/7</f>
        <v>3428.5714285714284</v>
      </c>
      <c r="I694" s="6">
        <f>IFERROR(O694/K694,)</f>
        <v>321.71717171717171</v>
      </c>
      <c r="J694" s="2" t="s">
        <v>2439</v>
      </c>
      <c r="K694" s="2">
        <v>5.94</v>
      </c>
      <c r="L694" s="2" t="s">
        <v>777</v>
      </c>
      <c r="M694" s="2" t="s">
        <v>1265</v>
      </c>
      <c r="N694" s="2" t="s">
        <v>2440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2441</v>
      </c>
      <c r="U694" s="2" t="s">
        <v>1384</v>
      </c>
      <c r="V694" s="2" t="s">
        <v>2442</v>
      </c>
      <c r="W694" s="2" t="s">
        <v>2443</v>
      </c>
      <c r="X694" s="2" t="s">
        <v>2444</v>
      </c>
      <c r="Y694" s="2" t="s">
        <v>2445</v>
      </c>
      <c r="Z694" s="2" t="s">
        <v>649</v>
      </c>
      <c r="AA694" s="2" t="s">
        <v>548</v>
      </c>
      <c r="AB694" s="2" t="s">
        <v>2446</v>
      </c>
    </row>
    <row r="695" spans="1:28" x14ac:dyDescent="0.25">
      <c r="A695" s="81">
        <v>46232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>
        <f>15000/5</f>
        <v>3000</v>
      </c>
      <c r="I695" s="6">
        <f>IFERROR(O695/K695,)</f>
        <v>291.02749638205501</v>
      </c>
      <c r="J695" s="2" t="s">
        <v>2447</v>
      </c>
      <c r="K695" s="2">
        <v>6.91</v>
      </c>
      <c r="L695" s="2" t="s">
        <v>756</v>
      </c>
      <c r="M695" s="2" t="s">
        <v>2448</v>
      </c>
      <c r="N695" s="2" t="s">
        <v>2449</v>
      </c>
      <c r="O695" s="56">
        <v>2011</v>
      </c>
      <c r="P695" s="2" t="s">
        <v>2007</v>
      </c>
      <c r="Q695" s="2" t="s">
        <v>1110</v>
      </c>
      <c r="R695" s="2" t="s">
        <v>2450</v>
      </c>
      <c r="S695" s="2" t="s">
        <v>961</v>
      </c>
      <c r="T695" s="2" t="s">
        <v>839</v>
      </c>
      <c r="U695" s="2" t="s">
        <v>2451</v>
      </c>
      <c r="V695" s="2" t="s">
        <v>2452</v>
      </c>
      <c r="W695" s="2" t="s">
        <v>2453</v>
      </c>
      <c r="X695" s="2" t="s">
        <v>2454</v>
      </c>
      <c r="Y695" s="2" t="s">
        <v>2455</v>
      </c>
      <c r="Z695" s="2" t="s">
        <v>548</v>
      </c>
      <c r="AA695" s="2" t="s">
        <v>548</v>
      </c>
      <c r="AB695" s="2" t="s">
        <v>2387</v>
      </c>
    </row>
    <row r="696" spans="1:28" x14ac:dyDescent="0.25">
      <c r="A696" s="81">
        <v>46233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>
        <f>15000/5</f>
        <v>3000</v>
      </c>
      <c r="I696" s="6">
        <f>IFERROR(O696/K696,)</f>
        <v>199.31972789115648</v>
      </c>
      <c r="J696" s="2" t="s">
        <v>721</v>
      </c>
      <c r="K696" s="2">
        <v>7.35</v>
      </c>
      <c r="L696" s="2" t="s">
        <v>585</v>
      </c>
      <c r="M696" s="2" t="s">
        <v>2456</v>
      </c>
      <c r="N696" s="2" t="s">
        <v>2457</v>
      </c>
      <c r="O696" s="56">
        <v>1465</v>
      </c>
      <c r="P696" s="2" t="s">
        <v>2458</v>
      </c>
      <c r="Q696" s="2" t="s">
        <v>2459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2460</v>
      </c>
      <c r="X696" s="2" t="s">
        <v>2461</v>
      </c>
      <c r="Y696" s="2" t="s">
        <v>2462</v>
      </c>
      <c r="Z696" s="2" t="s">
        <v>579</v>
      </c>
      <c r="AA696" s="2" t="s">
        <v>548</v>
      </c>
      <c r="AB696" s="2" t="s">
        <v>2463</v>
      </c>
    </row>
    <row r="697" spans="1:28" x14ac:dyDescent="0.25">
      <c r="A697" s="81">
        <v>46233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>IFERROR(O697/K697,)</f>
        <v>0</v>
      </c>
      <c r="J697" s="2" t="s">
        <v>2464</v>
      </c>
      <c r="K697" s="2" t="s">
        <v>2465</v>
      </c>
      <c r="L697" s="2" t="s">
        <v>1310</v>
      </c>
      <c r="M697" s="2" t="s">
        <v>2466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2467</v>
      </c>
      <c r="U697" s="2" t="s">
        <v>749</v>
      </c>
      <c r="V697" s="2" t="s">
        <v>2468</v>
      </c>
      <c r="W697" s="2" t="s">
        <v>2469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 x14ac:dyDescent="0.25">
      <c r="A698" s="81">
        <v>46233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>IFERROR(O698/K698,)</f>
        <v>371.18110236220474</v>
      </c>
      <c r="J698" s="2" t="s">
        <v>2470</v>
      </c>
      <c r="K698" s="2">
        <v>6.35</v>
      </c>
      <c r="L698" s="2" t="s">
        <v>877</v>
      </c>
      <c r="M698" s="2" t="s">
        <v>2471</v>
      </c>
      <c r="N698" s="2" t="s">
        <v>2472</v>
      </c>
      <c r="O698" s="56">
        <v>2357</v>
      </c>
      <c r="P698" s="2" t="s">
        <v>2473</v>
      </c>
      <c r="Q698" s="2" t="s">
        <v>2474</v>
      </c>
      <c r="R698" s="2" t="s">
        <v>2475</v>
      </c>
      <c r="S698" s="2" t="s">
        <v>737</v>
      </c>
      <c r="T698" s="2" t="s">
        <v>2476</v>
      </c>
      <c r="U698" s="2" t="s">
        <v>1258</v>
      </c>
      <c r="V698" s="2" t="s">
        <v>2477</v>
      </c>
      <c r="W698" s="2" t="s">
        <v>2478</v>
      </c>
      <c r="X698" s="2" t="s">
        <v>2479</v>
      </c>
      <c r="Y698" s="2" t="s">
        <v>2480</v>
      </c>
      <c r="Z698" s="2" t="s">
        <v>649</v>
      </c>
      <c r="AA698" s="2" t="s">
        <v>548</v>
      </c>
      <c r="AB698" s="2" t="s">
        <v>2481</v>
      </c>
    </row>
    <row r="699" spans="1:28" x14ac:dyDescent="0.25">
      <c r="A699" s="81">
        <v>46233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>
        <f>15000/5</f>
        <v>3000</v>
      </c>
      <c r="I699" s="6">
        <f>IFERROR(O699/K699,)</f>
        <v>368.57962697274036</v>
      </c>
      <c r="J699" s="2" t="s">
        <v>2482</v>
      </c>
      <c r="K699" s="2">
        <v>6.97</v>
      </c>
      <c r="L699" s="2" t="s">
        <v>817</v>
      </c>
      <c r="M699" s="2" t="s">
        <v>2483</v>
      </c>
      <c r="N699" s="2" t="s">
        <v>2484</v>
      </c>
      <c r="O699" s="56">
        <v>2569</v>
      </c>
      <c r="P699" s="2" t="s">
        <v>1688</v>
      </c>
      <c r="Q699" s="2" t="s">
        <v>2485</v>
      </c>
      <c r="R699" s="2" t="s">
        <v>727</v>
      </c>
      <c r="S699" s="2" t="s">
        <v>658</v>
      </c>
      <c r="T699" s="2" t="s">
        <v>1374</v>
      </c>
      <c r="U699" s="2" t="s">
        <v>2486</v>
      </c>
      <c r="V699" s="2" t="s">
        <v>1568</v>
      </c>
      <c r="W699" s="2" t="s">
        <v>2487</v>
      </c>
      <c r="X699" s="2" t="s">
        <v>2488</v>
      </c>
      <c r="Y699" s="2" t="s">
        <v>2489</v>
      </c>
      <c r="Z699" s="2" t="s">
        <v>579</v>
      </c>
      <c r="AA699" s="2" t="s">
        <v>548</v>
      </c>
      <c r="AB699" s="2" t="s">
        <v>2490</v>
      </c>
    </row>
    <row r="700" spans="1:28" x14ac:dyDescent="0.25">
      <c r="A700" s="81">
        <v>46233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>
        <f>15000/5</f>
        <v>3000</v>
      </c>
      <c r="I700" s="6">
        <f>IFERROR(O700/K700,)</f>
        <v>211.47308781869688</v>
      </c>
      <c r="J700" s="2" t="s">
        <v>2491</v>
      </c>
      <c r="K700" s="2">
        <v>7.06</v>
      </c>
      <c r="L700" s="2" t="s">
        <v>777</v>
      </c>
      <c r="M700" s="2" t="s">
        <v>807</v>
      </c>
      <c r="N700" s="2" t="s">
        <v>2492</v>
      </c>
      <c r="O700" s="56">
        <f>1943-450</f>
        <v>1493</v>
      </c>
      <c r="P700" s="2" t="s">
        <v>1031</v>
      </c>
      <c r="Q700" s="2" t="s">
        <v>2493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2494</v>
      </c>
      <c r="X700" s="2" t="s">
        <v>2495</v>
      </c>
      <c r="Y700" s="2" t="s">
        <v>2496</v>
      </c>
      <c r="Z700" s="2" t="s">
        <v>602</v>
      </c>
      <c r="AA700" s="2" t="s">
        <v>548</v>
      </c>
      <c r="AB700" s="2" t="s">
        <v>2497</v>
      </c>
    </row>
    <row r="701" spans="1:28" x14ac:dyDescent="0.25">
      <c r="A701" s="81">
        <v>46233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>IFERROR(O701/K701,)</f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81">
        <v>46233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>
        <f>15000/5</f>
        <v>3000</v>
      </c>
      <c r="I702" s="6">
        <f>IFERROR(O702/K702,)</f>
        <v>443.34203655352479</v>
      </c>
      <c r="J702" s="2" t="s">
        <v>2498</v>
      </c>
      <c r="K702" s="2">
        <v>11.49</v>
      </c>
      <c r="L702" s="2" t="s">
        <v>1855</v>
      </c>
      <c r="M702" s="2" t="s">
        <v>2499</v>
      </c>
      <c r="N702" s="2" t="s">
        <v>2500</v>
      </c>
      <c r="O702" s="56">
        <v>5094</v>
      </c>
      <c r="P702" s="2" t="s">
        <v>1121</v>
      </c>
      <c r="Q702" s="2" t="s">
        <v>2501</v>
      </c>
      <c r="R702" s="2" t="s">
        <v>2502</v>
      </c>
      <c r="S702" s="2" t="s">
        <v>1929</v>
      </c>
      <c r="T702" s="2" t="s">
        <v>2503</v>
      </c>
      <c r="U702" s="2" t="s">
        <v>2504</v>
      </c>
      <c r="V702" s="2" t="s">
        <v>2505</v>
      </c>
      <c r="W702" s="2" t="s">
        <v>2506</v>
      </c>
      <c r="X702" s="2" t="s">
        <v>2507</v>
      </c>
      <c r="Y702" s="2" t="s">
        <v>2508</v>
      </c>
      <c r="Z702" s="2" t="s">
        <v>800</v>
      </c>
      <c r="AA702" s="2" t="s">
        <v>548</v>
      </c>
      <c r="AB702" s="2" t="s">
        <v>2509</v>
      </c>
    </row>
    <row r="703" spans="1:28" x14ac:dyDescent="0.25">
      <c r="A703" s="81">
        <v>46233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>
        <f>24000/7</f>
        <v>3428.5714285714284</v>
      </c>
      <c r="I703" s="6">
        <f>IFERROR(O703/K703,)</f>
        <v>523.65887207702895</v>
      </c>
      <c r="J703" s="2" t="s">
        <v>1038</v>
      </c>
      <c r="K703" s="2">
        <v>7.27</v>
      </c>
      <c r="L703" s="2" t="s">
        <v>621</v>
      </c>
      <c r="M703" s="2" t="s">
        <v>2510</v>
      </c>
      <c r="N703" s="2" t="s">
        <v>2511</v>
      </c>
      <c r="O703" s="56">
        <v>3807</v>
      </c>
      <c r="P703" s="2" t="s">
        <v>2512</v>
      </c>
      <c r="Q703" s="2" t="s">
        <v>2513</v>
      </c>
      <c r="R703" s="2" t="s">
        <v>2514</v>
      </c>
      <c r="S703" s="2" t="s">
        <v>749</v>
      </c>
      <c r="T703" s="2" t="s">
        <v>1043</v>
      </c>
      <c r="U703" s="2" t="s">
        <v>2515</v>
      </c>
      <c r="V703" s="2" t="s">
        <v>2516</v>
      </c>
      <c r="W703" s="2" t="s">
        <v>2517</v>
      </c>
      <c r="X703" s="2" t="s">
        <v>2518</v>
      </c>
      <c r="Y703" s="2" t="s">
        <v>2519</v>
      </c>
      <c r="Z703" s="2" t="s">
        <v>800</v>
      </c>
      <c r="AA703" s="2" t="s">
        <v>548</v>
      </c>
      <c r="AB703" s="2" t="s">
        <v>2520</v>
      </c>
    </row>
    <row r="704" spans="1:28" x14ac:dyDescent="0.25">
      <c r="A704" s="81">
        <v>46233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>
        <f>15000/5</f>
        <v>3000</v>
      </c>
      <c r="I704" s="6">
        <f>IFERROR(O704/K704,)</f>
        <v>430.02958579881658</v>
      </c>
      <c r="J704" s="2" t="s">
        <v>2101</v>
      </c>
      <c r="K704" s="2">
        <v>6.76</v>
      </c>
      <c r="L704" s="2" t="s">
        <v>652</v>
      </c>
      <c r="M704" s="2" t="s">
        <v>2521</v>
      </c>
      <c r="N704" s="2" t="s">
        <v>2522</v>
      </c>
      <c r="O704" s="56">
        <f>3057-150</f>
        <v>2907</v>
      </c>
      <c r="P704" s="2" t="s">
        <v>1183</v>
      </c>
      <c r="Q704" s="2" t="s">
        <v>2523</v>
      </c>
      <c r="R704" s="2" t="s">
        <v>2524</v>
      </c>
      <c r="S704" s="2" t="s">
        <v>658</v>
      </c>
      <c r="T704" s="2" t="s">
        <v>659</v>
      </c>
      <c r="U704" s="2" t="s">
        <v>1077</v>
      </c>
      <c r="V704" s="2" t="s">
        <v>2525</v>
      </c>
      <c r="W704" s="2" t="s">
        <v>2526</v>
      </c>
      <c r="X704" s="2" t="s">
        <v>2527</v>
      </c>
      <c r="Y704" s="2" t="s">
        <v>2528</v>
      </c>
      <c r="Z704" s="2" t="s">
        <v>548</v>
      </c>
      <c r="AA704" s="2" t="s">
        <v>548</v>
      </c>
      <c r="AB704" s="2" t="s">
        <v>2387</v>
      </c>
    </row>
    <row r="705" spans="1:28" x14ac:dyDescent="0.25">
      <c r="A705" s="81">
        <v>46233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>IFERROR(O705/K705,)</f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81">
        <v>46235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>
        <f>15000/7</f>
        <v>2142.8571428571427</v>
      </c>
      <c r="I706" s="6">
        <f>IFERROR(O706/K706,)</f>
        <v>168.91891891891893</v>
      </c>
      <c r="J706" s="2" t="s">
        <v>2529</v>
      </c>
      <c r="K706" s="2">
        <v>5.92</v>
      </c>
      <c r="L706" s="2" t="s">
        <v>585</v>
      </c>
      <c r="M706" s="2" t="s">
        <v>593</v>
      </c>
      <c r="N706" s="2" t="s">
        <v>2530</v>
      </c>
      <c r="O706" s="56">
        <v>1000</v>
      </c>
      <c r="P706" s="2" t="s">
        <v>652</v>
      </c>
      <c r="Q706" s="2" t="s">
        <v>2531</v>
      </c>
      <c r="R706" s="2" t="s">
        <v>1358</v>
      </c>
      <c r="S706" s="2" t="s">
        <v>685</v>
      </c>
      <c r="T706" s="2" t="s">
        <v>1015</v>
      </c>
      <c r="U706" s="2" t="s">
        <v>2532</v>
      </c>
      <c r="V706" s="2" t="s">
        <v>2533</v>
      </c>
      <c r="W706" s="2" t="s">
        <v>2534</v>
      </c>
      <c r="X706" s="2" t="s">
        <v>2535</v>
      </c>
      <c r="Y706" s="2" t="s">
        <v>2536</v>
      </c>
      <c r="Z706" s="2" t="s">
        <v>800</v>
      </c>
      <c r="AA706" s="2" t="s">
        <v>548</v>
      </c>
      <c r="AB706" s="2" t="s">
        <v>2537</v>
      </c>
    </row>
    <row r="707" spans="1:28" x14ac:dyDescent="0.25">
      <c r="A707" s="81">
        <v>46234</v>
      </c>
      <c r="B707" s="8" t="s">
        <v>2254</v>
      </c>
      <c r="C707" s="8" t="s">
        <v>36</v>
      </c>
      <c r="D707" s="8" t="s">
        <v>39</v>
      </c>
      <c r="E707" s="8" t="s">
        <v>47</v>
      </c>
      <c r="F707" s="13"/>
      <c r="G707" s="59"/>
      <c r="H707" s="6">
        <f>15000/6</f>
        <v>2500</v>
      </c>
      <c r="I707" s="6">
        <f>IFERROR(O707/K707,)</f>
        <v>262.9733520336606</v>
      </c>
      <c r="J707" s="2" t="s">
        <v>2538</v>
      </c>
      <c r="K707" s="2">
        <v>7.13</v>
      </c>
      <c r="L707" s="2" t="s">
        <v>955</v>
      </c>
      <c r="M707" s="2" t="s">
        <v>2539</v>
      </c>
      <c r="N707" s="2" t="s">
        <v>2035</v>
      </c>
      <c r="O707" s="56">
        <v>1875</v>
      </c>
      <c r="P707" s="2" t="s">
        <v>2540</v>
      </c>
      <c r="Q707" s="2" t="s">
        <v>2319</v>
      </c>
      <c r="R707" s="2" t="s">
        <v>1544</v>
      </c>
      <c r="S707" s="2" t="s">
        <v>839</v>
      </c>
      <c r="T707" s="2" t="s">
        <v>685</v>
      </c>
      <c r="U707" s="2" t="s">
        <v>1349</v>
      </c>
      <c r="V707" s="2" t="s">
        <v>2541</v>
      </c>
      <c r="W707" s="2" t="s">
        <v>2542</v>
      </c>
      <c r="X707" s="2" t="s">
        <v>2543</v>
      </c>
      <c r="Y707" s="2" t="s">
        <v>2544</v>
      </c>
      <c r="Z707" s="2" t="s">
        <v>800</v>
      </c>
      <c r="AA707" s="2" t="s">
        <v>548</v>
      </c>
      <c r="AB707" s="2" t="s">
        <v>2545</v>
      </c>
    </row>
    <row r="708" spans="1:28" x14ac:dyDescent="0.25">
      <c r="A708" s="81">
        <v>46235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>
        <f>15000/7</f>
        <v>2142.8571428571427</v>
      </c>
      <c r="I708" s="6">
        <f>IFERROR(O708/K708,)</f>
        <v>0</v>
      </c>
      <c r="J708" s="2"/>
      <c r="K708" s="2"/>
      <c r="L708" s="2"/>
      <c r="M708" s="2"/>
      <c r="N708" s="2"/>
      <c r="O708" s="56">
        <v>50</v>
      </c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 spans="1:28" x14ac:dyDescent="0.25">
      <c r="A709" s="81">
        <v>46235</v>
      </c>
      <c r="B709" s="8" t="s">
        <v>2254</v>
      </c>
      <c r="C709" s="8" t="s">
        <v>36</v>
      </c>
      <c r="D709" s="8" t="s">
        <v>43</v>
      </c>
      <c r="E709" s="8" t="s">
        <v>61</v>
      </c>
      <c r="F709" s="13"/>
      <c r="G709" s="59"/>
      <c r="H709" s="6"/>
      <c r="I709" s="6">
        <f>IFERROR(O709/K709,)</f>
        <v>223.68421052631581</v>
      </c>
      <c r="J709" s="2" t="s">
        <v>1231</v>
      </c>
      <c r="K709" s="2">
        <v>3.8</v>
      </c>
      <c r="L709" s="2" t="s">
        <v>690</v>
      </c>
      <c r="M709" s="2" t="s">
        <v>1723</v>
      </c>
      <c r="N709" s="2" t="s">
        <v>45</v>
      </c>
      <c r="O709" s="56">
        <v>850</v>
      </c>
      <c r="P709" s="2" t="s">
        <v>45</v>
      </c>
      <c r="Q709" s="2" t="s">
        <v>45</v>
      </c>
      <c r="R709" s="2" t="s">
        <v>2597</v>
      </c>
      <c r="S709" s="2" t="s">
        <v>712</v>
      </c>
      <c r="T709" s="2" t="s">
        <v>771</v>
      </c>
      <c r="U709" s="2" t="s">
        <v>2598</v>
      </c>
      <c r="V709" s="2" t="s">
        <v>2599</v>
      </c>
      <c r="W709" s="2" t="s">
        <v>2600</v>
      </c>
      <c r="X709" s="2" t="s">
        <v>45</v>
      </c>
      <c r="Y709" s="2" t="s">
        <v>45</v>
      </c>
      <c r="Z709" s="2" t="s">
        <v>548</v>
      </c>
      <c r="AA709" s="2" t="s">
        <v>45</v>
      </c>
      <c r="AB709" s="2" t="s">
        <v>2601</v>
      </c>
    </row>
    <row r="710" spans="1:28" x14ac:dyDescent="0.25">
      <c r="A710" s="81">
        <v>46234</v>
      </c>
      <c r="B710" s="8" t="s">
        <v>2254</v>
      </c>
      <c r="C710" s="8" t="s">
        <v>36</v>
      </c>
      <c r="D710" s="8" t="s">
        <v>43</v>
      </c>
      <c r="E710" s="8" t="s">
        <v>61</v>
      </c>
      <c r="F710" s="13"/>
      <c r="G710" s="59"/>
      <c r="H710" s="6"/>
      <c r="I710" s="6">
        <f>IFERROR(O710/K710,)</f>
        <v>0</v>
      </c>
      <c r="J710" s="2"/>
      <c r="K710" s="2"/>
      <c r="L710" s="2"/>
      <c r="M710" s="2"/>
      <c r="N710" s="2"/>
      <c r="O710" s="56">
        <v>25</v>
      </c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 spans="1:28" x14ac:dyDescent="0.25">
      <c r="A711" s="81">
        <v>46234</v>
      </c>
      <c r="B711" s="8" t="s">
        <v>2254</v>
      </c>
      <c r="C711" s="8" t="s">
        <v>36</v>
      </c>
      <c r="D711" s="8" t="s">
        <v>43</v>
      </c>
      <c r="E711" s="8" t="s">
        <v>47</v>
      </c>
      <c r="F711" s="13"/>
      <c r="G711" s="59"/>
      <c r="H711" s="6">
        <f>15000/6</f>
        <v>2500</v>
      </c>
      <c r="I711" s="6">
        <f>IFERROR(O711/K711,)</f>
        <v>11.261261261261261</v>
      </c>
      <c r="J711" s="2" t="s">
        <v>2602</v>
      </c>
      <c r="K711" s="2">
        <v>4.4400000000000004</v>
      </c>
      <c r="L711" s="2" t="s">
        <v>602</v>
      </c>
      <c r="M711" s="2" t="s">
        <v>2603</v>
      </c>
      <c r="N711" s="2" t="s">
        <v>45</v>
      </c>
      <c r="O711" s="56">
        <v>50</v>
      </c>
      <c r="P711" s="2" t="s">
        <v>45</v>
      </c>
      <c r="Q711" s="2" t="s">
        <v>45</v>
      </c>
      <c r="R711" s="2" t="s">
        <v>1174</v>
      </c>
      <c r="S711" s="2" t="s">
        <v>595</v>
      </c>
      <c r="T711" s="2" t="s">
        <v>839</v>
      </c>
      <c r="U711" s="2" t="s">
        <v>2604</v>
      </c>
      <c r="V711" s="2" t="s">
        <v>2605</v>
      </c>
      <c r="W711" s="2" t="s">
        <v>2606</v>
      </c>
      <c r="X711" s="2" t="s">
        <v>45</v>
      </c>
      <c r="Y711" s="2" t="s">
        <v>45</v>
      </c>
      <c r="Z711" s="2" t="s">
        <v>649</v>
      </c>
      <c r="AA711" s="2" t="s">
        <v>45</v>
      </c>
      <c r="AB711" s="2" t="s">
        <v>2601</v>
      </c>
    </row>
    <row r="712" spans="1:28" x14ac:dyDescent="0.25">
      <c r="A712" s="81">
        <v>46235</v>
      </c>
      <c r="B712" s="8" t="s">
        <v>2254</v>
      </c>
      <c r="C712" s="8" t="s">
        <v>36</v>
      </c>
      <c r="D712" s="8" t="s">
        <v>67</v>
      </c>
      <c r="E712" s="8" t="s">
        <v>47</v>
      </c>
      <c r="F712" s="13"/>
      <c r="G712" s="59"/>
      <c r="H712" s="6">
        <f>15000/7</f>
        <v>2142.8571428571427</v>
      </c>
      <c r="I712" s="6">
        <f>IFERROR(O712/K712,)</f>
        <v>207.2639225181598</v>
      </c>
      <c r="J712" s="2" t="s">
        <v>2607</v>
      </c>
      <c r="K712" s="2">
        <v>4.13</v>
      </c>
      <c r="L712" s="2" t="s">
        <v>1502</v>
      </c>
      <c r="M712" s="2" t="s">
        <v>2608</v>
      </c>
      <c r="N712" s="2" t="s">
        <v>2609</v>
      </c>
      <c r="O712" s="56">
        <v>856</v>
      </c>
      <c r="P712" s="2" t="s">
        <v>2610</v>
      </c>
      <c r="Q712" s="2" t="s">
        <v>2611</v>
      </c>
      <c r="R712" s="2" t="s">
        <v>1842</v>
      </c>
      <c r="S712" s="2" t="s">
        <v>595</v>
      </c>
      <c r="T712" s="2" t="s">
        <v>2612</v>
      </c>
      <c r="U712" s="2" t="s">
        <v>2613</v>
      </c>
      <c r="V712" s="2" t="s">
        <v>2614</v>
      </c>
      <c r="W712" s="2" t="s">
        <v>2615</v>
      </c>
      <c r="X712" s="2" t="s">
        <v>2616</v>
      </c>
      <c r="Y712" s="2" t="s">
        <v>2617</v>
      </c>
      <c r="Z712" s="2" t="s">
        <v>719</v>
      </c>
      <c r="AA712" s="2" t="s">
        <v>548</v>
      </c>
      <c r="AB712" s="2" t="s">
        <v>2618</v>
      </c>
    </row>
    <row r="713" spans="1:28" x14ac:dyDescent="0.25">
      <c r="A713" s="81">
        <v>46234</v>
      </c>
      <c r="B713" s="8" t="s">
        <v>55</v>
      </c>
      <c r="C713" s="8" t="s">
        <v>56</v>
      </c>
      <c r="D713" s="8" t="s">
        <v>67</v>
      </c>
      <c r="E713" s="8" t="s">
        <v>47</v>
      </c>
      <c r="F713" s="13"/>
      <c r="G713" s="8" t="s">
        <v>146</v>
      </c>
      <c r="H713" s="6"/>
      <c r="I713" s="6">
        <f>IFERROR(O713/K713,)</f>
        <v>0</v>
      </c>
      <c r="J713" s="2" t="s">
        <v>2619</v>
      </c>
      <c r="K713" s="2">
        <v>0.57999999999999996</v>
      </c>
      <c r="L713" s="2" t="s">
        <v>1092</v>
      </c>
      <c r="M713" s="2" t="s">
        <v>2620</v>
      </c>
      <c r="N713" s="2" t="s">
        <v>2621</v>
      </c>
      <c r="O713" s="56" t="s">
        <v>42</v>
      </c>
      <c r="P713" s="2" t="s">
        <v>800</v>
      </c>
      <c r="Q713" s="2" t="s">
        <v>580</v>
      </c>
      <c r="R713" s="2" t="s">
        <v>747</v>
      </c>
      <c r="S713" s="2" t="s">
        <v>749</v>
      </c>
      <c r="T713" s="2" t="s">
        <v>1447</v>
      </c>
      <c r="U713" s="2" t="s">
        <v>712</v>
      </c>
      <c r="V713" s="2" t="s">
        <v>2622</v>
      </c>
      <c r="W713" s="2" t="s">
        <v>2623</v>
      </c>
      <c r="X713" s="2" t="s">
        <v>2624</v>
      </c>
      <c r="Y713" s="2" t="s">
        <v>2625</v>
      </c>
      <c r="Z713" s="2" t="s">
        <v>548</v>
      </c>
      <c r="AA713" s="2" t="s">
        <v>548</v>
      </c>
      <c r="AB713" s="2" t="s">
        <v>2481</v>
      </c>
    </row>
    <row r="714" spans="1:28" x14ac:dyDescent="0.25">
      <c r="A714" s="81">
        <v>46235</v>
      </c>
      <c r="B714" s="8" t="s">
        <v>2254</v>
      </c>
      <c r="C714" s="8" t="s">
        <v>36</v>
      </c>
      <c r="D714" s="8" t="s">
        <v>50</v>
      </c>
      <c r="E714" s="8" t="s">
        <v>47</v>
      </c>
      <c r="F714" s="13"/>
      <c r="G714" s="59"/>
      <c r="H714" s="6">
        <f>15000/7</f>
        <v>2142.8571428571427</v>
      </c>
      <c r="I714" s="6">
        <f>IFERROR(O714/K714,)</f>
        <v>233.93501805054152</v>
      </c>
      <c r="J714" s="2" t="s">
        <v>2626</v>
      </c>
      <c r="K714" s="2">
        <v>5.54</v>
      </c>
      <c r="L714" s="2" t="s">
        <v>756</v>
      </c>
      <c r="M714" s="2" t="s">
        <v>2627</v>
      </c>
      <c r="N714" s="2" t="s">
        <v>2628</v>
      </c>
      <c r="O714" s="56">
        <v>1296</v>
      </c>
      <c r="P714" s="2" t="s">
        <v>784</v>
      </c>
      <c r="Q714" s="2" t="s">
        <v>1934</v>
      </c>
      <c r="R714" s="2" t="s">
        <v>1357</v>
      </c>
      <c r="S714" s="2" t="s">
        <v>595</v>
      </c>
      <c r="T714" s="2" t="s">
        <v>726</v>
      </c>
      <c r="U714" s="2" t="s">
        <v>2629</v>
      </c>
      <c r="V714" s="2" t="s">
        <v>2266</v>
      </c>
      <c r="W714" s="2" t="s">
        <v>2630</v>
      </c>
      <c r="X714" s="2" t="s">
        <v>2631</v>
      </c>
      <c r="Y714" s="2" t="s">
        <v>2632</v>
      </c>
      <c r="Z714" s="2" t="s">
        <v>678</v>
      </c>
      <c r="AA714" s="2" t="s">
        <v>548</v>
      </c>
      <c r="AB714" s="2" t="s">
        <v>2633</v>
      </c>
    </row>
    <row r="715" spans="1:28" x14ac:dyDescent="0.25">
      <c r="A715" s="81">
        <v>46234</v>
      </c>
      <c r="B715" s="8" t="s">
        <v>2254</v>
      </c>
      <c r="C715" s="8" t="s">
        <v>36</v>
      </c>
      <c r="D715" s="8" t="s">
        <v>50</v>
      </c>
      <c r="E715" s="8" t="s">
        <v>47</v>
      </c>
      <c r="F715" s="13"/>
      <c r="G715" s="59"/>
      <c r="H715" s="6">
        <f>15000/6</f>
        <v>2500</v>
      </c>
      <c r="I715" s="6">
        <f>IFERROR(O715/K715,)</f>
        <v>238.97810218978103</v>
      </c>
      <c r="J715" s="2" t="s">
        <v>2634</v>
      </c>
      <c r="K715" s="2">
        <v>6.85</v>
      </c>
      <c r="L715" s="2" t="s">
        <v>621</v>
      </c>
      <c r="M715" s="2" t="s">
        <v>2635</v>
      </c>
      <c r="N715" s="2" t="s">
        <v>1854</v>
      </c>
      <c r="O715" s="56">
        <v>1637</v>
      </c>
      <c r="P715" s="2" t="s">
        <v>1189</v>
      </c>
      <c r="Q715" s="2" t="s">
        <v>2636</v>
      </c>
      <c r="R715" s="2" t="s">
        <v>2637</v>
      </c>
      <c r="S715" s="2" t="s">
        <v>582</v>
      </c>
      <c r="T715" s="2" t="s">
        <v>839</v>
      </c>
      <c r="U715" s="2" t="s">
        <v>911</v>
      </c>
      <c r="V715" s="2" t="s">
        <v>2638</v>
      </c>
      <c r="W715" s="2" t="s">
        <v>2639</v>
      </c>
      <c r="X715" s="2" t="s">
        <v>2640</v>
      </c>
      <c r="Y715" s="2" t="s">
        <v>2641</v>
      </c>
      <c r="Z715" s="2" t="s">
        <v>690</v>
      </c>
      <c r="AA715" s="2" t="s">
        <v>548</v>
      </c>
      <c r="AB715" s="2" t="s">
        <v>2642</v>
      </c>
    </row>
    <row r="716" spans="1:28" x14ac:dyDescent="0.25">
      <c r="A716" s="81">
        <v>46235</v>
      </c>
      <c r="B716" s="8" t="s">
        <v>2254</v>
      </c>
      <c r="C716" s="8" t="s">
        <v>36</v>
      </c>
      <c r="D716" s="8" t="s">
        <v>52</v>
      </c>
      <c r="E716" s="8" t="s">
        <v>47</v>
      </c>
      <c r="F716" s="13"/>
      <c r="G716" s="59"/>
      <c r="H716" s="6">
        <f>15000/7</f>
        <v>2142.8571428571427</v>
      </c>
      <c r="I716" s="6">
        <f>IFERROR(O716/K716,)</f>
        <v>279.42073170731709</v>
      </c>
      <c r="J716" s="2" t="s">
        <v>2643</v>
      </c>
      <c r="K716" s="2">
        <v>6.56</v>
      </c>
      <c r="L716" s="2" t="s">
        <v>998</v>
      </c>
      <c r="M716" s="2" t="s">
        <v>2644</v>
      </c>
      <c r="N716" s="2" t="s">
        <v>2645</v>
      </c>
      <c r="O716" s="56">
        <v>1833</v>
      </c>
      <c r="P716" s="2" t="s">
        <v>971</v>
      </c>
      <c r="Q716" s="2" t="s">
        <v>2646</v>
      </c>
      <c r="R716" s="2" t="s">
        <v>610</v>
      </c>
      <c r="S716" s="2" t="s">
        <v>685</v>
      </c>
      <c r="T716" s="2" t="s">
        <v>809</v>
      </c>
      <c r="U716" s="2" t="s">
        <v>1190</v>
      </c>
      <c r="V716" s="2" t="s">
        <v>2647</v>
      </c>
      <c r="W716" s="2" t="s">
        <v>2648</v>
      </c>
      <c r="X716" s="2" t="s">
        <v>2649</v>
      </c>
      <c r="Y716" s="2" t="s">
        <v>2650</v>
      </c>
      <c r="Z716" s="2" t="s">
        <v>649</v>
      </c>
      <c r="AA716" s="2" t="s">
        <v>548</v>
      </c>
      <c r="AB716" s="2" t="s">
        <v>2651</v>
      </c>
    </row>
    <row r="717" spans="1:28" x14ac:dyDescent="0.25">
      <c r="A717" s="81">
        <v>46234</v>
      </c>
      <c r="B717" s="8" t="s">
        <v>2254</v>
      </c>
      <c r="C717" s="8" t="s">
        <v>36</v>
      </c>
      <c r="D717" s="8" t="s">
        <v>52</v>
      </c>
      <c r="E717" s="8" t="s">
        <v>47</v>
      </c>
      <c r="F717" s="13"/>
      <c r="G717" s="59"/>
      <c r="H717" s="6">
        <f>15000/6</f>
        <v>2500</v>
      </c>
      <c r="I717" s="6">
        <f>IFERROR(O717/K717,)</f>
        <v>268.53932584269666</v>
      </c>
      <c r="J717" s="2" t="s">
        <v>2652</v>
      </c>
      <c r="K717" s="2">
        <v>8.01</v>
      </c>
      <c r="L717" s="2" t="s">
        <v>1321</v>
      </c>
      <c r="M717" s="2" t="s">
        <v>2653</v>
      </c>
      <c r="N717" s="2" t="s">
        <v>1739</v>
      </c>
      <c r="O717" s="56">
        <v>2151</v>
      </c>
      <c r="P717" s="2" t="s">
        <v>2410</v>
      </c>
      <c r="Q717" s="2" t="s">
        <v>1832</v>
      </c>
      <c r="R717" s="2" t="s">
        <v>2009</v>
      </c>
      <c r="S717" s="2" t="s">
        <v>961</v>
      </c>
      <c r="T717" s="2" t="s">
        <v>2149</v>
      </c>
      <c r="U717" s="2" t="s">
        <v>770</v>
      </c>
      <c r="V717" s="2" t="s">
        <v>2654</v>
      </c>
      <c r="W717" s="2" t="s">
        <v>2655</v>
      </c>
      <c r="X717" s="2" t="s">
        <v>2656</v>
      </c>
      <c r="Y717" s="2" t="s">
        <v>2657</v>
      </c>
      <c r="Z717" s="2" t="s">
        <v>702</v>
      </c>
      <c r="AA717" s="2" t="s">
        <v>548</v>
      </c>
      <c r="AB717" s="2" t="s">
        <v>2658</v>
      </c>
    </row>
    <row r="718" spans="1:28" x14ac:dyDescent="0.25">
      <c r="A718" s="81">
        <v>46235</v>
      </c>
      <c r="B718" s="8" t="s">
        <v>2254</v>
      </c>
      <c r="C718" s="8" t="s">
        <v>36</v>
      </c>
      <c r="D718" s="7" t="s">
        <v>46</v>
      </c>
      <c r="E718" s="8" t="s">
        <v>47</v>
      </c>
      <c r="F718" s="13"/>
      <c r="G718" s="59"/>
      <c r="H718" s="6">
        <f>15000/7</f>
        <v>2142.8571428571427</v>
      </c>
      <c r="I718" s="6">
        <f>IFERROR(O718/K718,)</f>
        <v>394.19847328244276</v>
      </c>
      <c r="J718" s="2" t="s">
        <v>1526</v>
      </c>
      <c r="K718" s="2">
        <v>6.55</v>
      </c>
      <c r="L718" s="2" t="s">
        <v>693</v>
      </c>
      <c r="M718" s="2" t="s">
        <v>2659</v>
      </c>
      <c r="N718" s="2" t="s">
        <v>2660</v>
      </c>
      <c r="O718" s="56">
        <v>2582</v>
      </c>
      <c r="P718" s="2" t="s">
        <v>2199</v>
      </c>
      <c r="Q718" s="2" t="s">
        <v>2661</v>
      </c>
      <c r="R718" s="2" t="s">
        <v>2662</v>
      </c>
      <c r="S718" s="2" t="s">
        <v>949</v>
      </c>
      <c r="T718" s="2" t="s">
        <v>1106</v>
      </c>
      <c r="U718" s="2" t="s">
        <v>2663</v>
      </c>
      <c r="V718" s="2" t="s">
        <v>2664</v>
      </c>
      <c r="W718" s="2" t="s">
        <v>2665</v>
      </c>
      <c r="X718" s="2" t="s">
        <v>2666</v>
      </c>
      <c r="Y718" s="2" t="s">
        <v>2667</v>
      </c>
      <c r="Z718" s="2" t="s">
        <v>548</v>
      </c>
      <c r="AA718" s="2" t="s">
        <v>548</v>
      </c>
      <c r="AB718" s="2" t="s">
        <v>2668</v>
      </c>
    </row>
    <row r="719" spans="1:28" x14ac:dyDescent="0.25">
      <c r="A719" s="81">
        <v>46234</v>
      </c>
      <c r="B719" s="8" t="s">
        <v>2254</v>
      </c>
      <c r="C719" s="8" t="s">
        <v>36</v>
      </c>
      <c r="D719" s="7" t="s">
        <v>46</v>
      </c>
      <c r="E719" s="8" t="s">
        <v>47</v>
      </c>
      <c r="F719" s="13"/>
      <c r="G719" s="59"/>
      <c r="H719" s="6">
        <f>15000/6</f>
        <v>2500</v>
      </c>
      <c r="I719" s="6">
        <f>IFERROR(O719/K719,)</f>
        <v>330</v>
      </c>
      <c r="J719" s="2" t="s">
        <v>2669</v>
      </c>
      <c r="K719" s="2">
        <v>11.7</v>
      </c>
      <c r="L719" s="2" t="s">
        <v>2670</v>
      </c>
      <c r="M719" s="2" t="s">
        <v>2671</v>
      </c>
      <c r="N719" s="2" t="s">
        <v>2672</v>
      </c>
      <c r="O719" s="56">
        <v>3861</v>
      </c>
      <c r="P719" s="2" t="s">
        <v>2673</v>
      </c>
      <c r="Q719" s="2" t="s">
        <v>1758</v>
      </c>
      <c r="R719" s="2" t="s">
        <v>2674</v>
      </c>
      <c r="S719" s="2" t="s">
        <v>2675</v>
      </c>
      <c r="T719" s="2" t="s">
        <v>2676</v>
      </c>
      <c r="U719" s="2" t="s">
        <v>2677</v>
      </c>
      <c r="V719" s="2" t="s">
        <v>2678</v>
      </c>
      <c r="W719" s="2" t="s">
        <v>2679</v>
      </c>
      <c r="X719" s="2" t="s">
        <v>2680</v>
      </c>
      <c r="Y719" s="2" t="s">
        <v>2681</v>
      </c>
      <c r="Z719" s="2" t="s">
        <v>800</v>
      </c>
      <c r="AA719" s="2" t="s">
        <v>548</v>
      </c>
      <c r="AB719" s="2" t="s">
        <v>2668</v>
      </c>
    </row>
    <row r="720" spans="1:28" x14ac:dyDescent="0.25">
      <c r="A720" s="81">
        <v>46235</v>
      </c>
      <c r="B720" s="8" t="s">
        <v>2254</v>
      </c>
      <c r="C720" s="8" t="s">
        <v>36</v>
      </c>
      <c r="D720" s="8" t="s">
        <v>48</v>
      </c>
      <c r="E720" s="7" t="s">
        <v>38</v>
      </c>
      <c r="F720" s="13">
        <v>3375</v>
      </c>
      <c r="G720" s="59"/>
      <c r="H720" s="6">
        <f>24000/7</f>
        <v>3428.5714285714284</v>
      </c>
      <c r="I720" s="6">
        <f>IFERROR(O720/K720,)</f>
        <v>650.23752969121142</v>
      </c>
      <c r="J720" s="2" t="s">
        <v>2682</v>
      </c>
      <c r="K720" s="2">
        <v>8.42</v>
      </c>
      <c r="L720" s="2" t="s">
        <v>706</v>
      </c>
      <c r="M720" s="2" t="s">
        <v>2683</v>
      </c>
      <c r="N720" s="2" t="s">
        <v>2684</v>
      </c>
      <c r="O720" s="56">
        <v>5475</v>
      </c>
      <c r="P720" s="2" t="s">
        <v>1084</v>
      </c>
      <c r="Q720" s="2" t="s">
        <v>2683</v>
      </c>
      <c r="R720" s="2" t="s">
        <v>2685</v>
      </c>
      <c r="S720" s="2" t="s">
        <v>611</v>
      </c>
      <c r="T720" s="2" t="s">
        <v>2686</v>
      </c>
      <c r="U720" s="2" t="s">
        <v>2687</v>
      </c>
      <c r="V720" s="2" t="s">
        <v>1660</v>
      </c>
      <c r="W720" s="2" t="s">
        <v>2688</v>
      </c>
      <c r="X720" s="2" t="s">
        <v>2689</v>
      </c>
      <c r="Y720" s="2" t="s">
        <v>2690</v>
      </c>
      <c r="Z720" s="2" t="s">
        <v>649</v>
      </c>
      <c r="AA720" s="2" t="s">
        <v>548</v>
      </c>
      <c r="AB720" s="2" t="s">
        <v>2691</v>
      </c>
    </row>
    <row r="721" spans="1:28" x14ac:dyDescent="0.25">
      <c r="A721" s="81">
        <v>46234</v>
      </c>
      <c r="B721" s="8" t="s">
        <v>2254</v>
      </c>
      <c r="C721" s="8" t="s">
        <v>36</v>
      </c>
      <c r="D721" s="8" t="s">
        <v>48</v>
      </c>
      <c r="E721" s="7" t="s">
        <v>38</v>
      </c>
      <c r="F721" s="13">
        <v>2305</v>
      </c>
      <c r="G721" s="59"/>
      <c r="H721" s="6">
        <f>24000/7</f>
        <v>3428.5714285714284</v>
      </c>
      <c r="I721" s="6">
        <f>IFERROR(O721/K721,)</f>
        <v>495.0344827586207</v>
      </c>
      <c r="J721" s="2" t="s">
        <v>2004</v>
      </c>
      <c r="K721" s="2">
        <v>7.25</v>
      </c>
      <c r="L721" s="2" t="s">
        <v>777</v>
      </c>
      <c r="M721" s="2" t="s">
        <v>2692</v>
      </c>
      <c r="N721" s="2" t="s">
        <v>2693</v>
      </c>
      <c r="O721" s="56">
        <v>3589</v>
      </c>
      <c r="P721" s="2" t="s">
        <v>1097</v>
      </c>
      <c r="Q721" s="2" t="s">
        <v>2694</v>
      </c>
      <c r="R721" s="2" t="s">
        <v>2695</v>
      </c>
      <c r="S721" s="2" t="s">
        <v>902</v>
      </c>
      <c r="T721" s="2" t="s">
        <v>1338</v>
      </c>
      <c r="U721" s="2" t="s">
        <v>1087</v>
      </c>
      <c r="V721" s="2" t="s">
        <v>2107</v>
      </c>
      <c r="W721" s="2" t="s">
        <v>2696</v>
      </c>
      <c r="X721" s="2" t="s">
        <v>2697</v>
      </c>
      <c r="Y721" s="2" t="s">
        <v>2698</v>
      </c>
      <c r="Z721" s="2" t="s">
        <v>649</v>
      </c>
      <c r="AA721" s="2" t="s">
        <v>548</v>
      </c>
      <c r="AB721" s="2" t="s">
        <v>2699</v>
      </c>
    </row>
    <row r="722" spans="1:28" x14ac:dyDescent="0.25">
      <c r="A722" s="81">
        <v>46235</v>
      </c>
      <c r="B722" s="8" t="s">
        <v>2254</v>
      </c>
      <c r="C722" s="8" t="s">
        <v>36</v>
      </c>
      <c r="D722" s="8" t="s">
        <v>49</v>
      </c>
      <c r="E722" s="8" t="s">
        <v>47</v>
      </c>
      <c r="F722" s="13"/>
      <c r="G722" s="59"/>
      <c r="H722" s="6">
        <f>15000/7</f>
        <v>2142.8571428571427</v>
      </c>
      <c r="I722" s="6">
        <f>IFERROR(O722/K722,)</f>
        <v>395.5151515151515</v>
      </c>
      <c r="J722" s="2" t="s">
        <v>1203</v>
      </c>
      <c r="K722" s="2">
        <v>8.25</v>
      </c>
      <c r="L722" s="2" t="s">
        <v>1553</v>
      </c>
      <c r="M722" s="2" t="s">
        <v>2700</v>
      </c>
      <c r="N722" s="2" t="s">
        <v>2701</v>
      </c>
      <c r="O722" s="56">
        <v>3263</v>
      </c>
      <c r="P722" s="2" t="s">
        <v>2702</v>
      </c>
      <c r="Q722" s="2" t="s">
        <v>2703</v>
      </c>
      <c r="R722" s="2" t="s">
        <v>2704</v>
      </c>
      <c r="S722" s="2" t="s">
        <v>820</v>
      </c>
      <c r="T722" s="2" t="s">
        <v>762</v>
      </c>
      <c r="U722" s="2" t="s">
        <v>2705</v>
      </c>
      <c r="V722" s="2" t="s">
        <v>2706</v>
      </c>
      <c r="W722" s="2" t="s">
        <v>2707</v>
      </c>
      <c r="X722" s="2" t="s">
        <v>2708</v>
      </c>
      <c r="Y722" s="2" t="s">
        <v>2709</v>
      </c>
      <c r="Z722" s="2" t="s">
        <v>548</v>
      </c>
      <c r="AA722" s="2" t="s">
        <v>548</v>
      </c>
      <c r="AB722" s="2" t="s">
        <v>1231</v>
      </c>
    </row>
    <row r="723" spans="1:28" x14ac:dyDescent="0.25">
      <c r="A723" s="81">
        <v>46234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9"/>
      <c r="H723" s="6">
        <f>15000/6</f>
        <v>2500</v>
      </c>
      <c r="I723" s="6">
        <f>IFERROR(O723/K723,)</f>
        <v>474.15143603133157</v>
      </c>
      <c r="J723" s="2" t="s">
        <v>2710</v>
      </c>
      <c r="K723" s="2">
        <v>7.66</v>
      </c>
      <c r="L723" s="2" t="s">
        <v>817</v>
      </c>
      <c r="M723" s="2" t="s">
        <v>2711</v>
      </c>
      <c r="N723" s="2" t="s">
        <v>2712</v>
      </c>
      <c r="O723" s="56">
        <v>3632</v>
      </c>
      <c r="P723" s="2" t="s">
        <v>1191</v>
      </c>
      <c r="Q723" s="2" t="s">
        <v>2622</v>
      </c>
      <c r="R723" s="2" t="s">
        <v>2713</v>
      </c>
      <c r="S723" s="2" t="s">
        <v>642</v>
      </c>
      <c r="T723" s="2" t="s">
        <v>2714</v>
      </c>
      <c r="U723" s="2" t="s">
        <v>1638</v>
      </c>
      <c r="V723" s="2" t="s">
        <v>2715</v>
      </c>
      <c r="W723" s="2" t="s">
        <v>2716</v>
      </c>
      <c r="X723" s="2" t="s">
        <v>2717</v>
      </c>
      <c r="Y723" s="2" t="s">
        <v>2718</v>
      </c>
      <c r="Z723" s="2" t="s">
        <v>649</v>
      </c>
      <c r="AA723" s="2" t="s">
        <v>548</v>
      </c>
      <c r="AB723" s="2" t="s">
        <v>1231</v>
      </c>
    </row>
    <row r="724" spans="1:28" x14ac:dyDescent="0.25">
      <c r="A724" s="81">
        <v>46236</v>
      </c>
      <c r="B724" s="8" t="s">
        <v>55</v>
      </c>
      <c r="C724" s="8" t="s">
        <v>56</v>
      </c>
      <c r="D724" s="8" t="s">
        <v>39</v>
      </c>
      <c r="E724" s="8" t="s">
        <v>47</v>
      </c>
      <c r="F724" s="13"/>
      <c r="G724" s="59"/>
      <c r="H724" s="6"/>
      <c r="I724" s="6">
        <f>IFERROR(O724/K724,)</f>
        <v>0</v>
      </c>
      <c r="J724" s="2" t="s">
        <v>2719</v>
      </c>
      <c r="K724" s="2" t="s">
        <v>2720</v>
      </c>
      <c r="L724" s="2" t="s">
        <v>602</v>
      </c>
      <c r="M724" s="2" t="s">
        <v>2721</v>
      </c>
      <c r="N724" s="2" t="s">
        <v>548</v>
      </c>
      <c r="O724" s="56">
        <v>0</v>
      </c>
      <c r="P724" s="2" t="s">
        <v>45</v>
      </c>
      <c r="Q724" s="2" t="s">
        <v>548</v>
      </c>
      <c r="R724" s="2" t="s">
        <v>961</v>
      </c>
      <c r="S724" s="2" t="s">
        <v>839</v>
      </c>
      <c r="T724" s="2" t="s">
        <v>2302</v>
      </c>
      <c r="U724" s="2" t="s">
        <v>585</v>
      </c>
      <c r="V724" s="2" t="s">
        <v>2503</v>
      </c>
      <c r="W724" s="2" t="s">
        <v>2722</v>
      </c>
      <c r="X724" s="2" t="s">
        <v>2535</v>
      </c>
      <c r="Y724" s="2" t="s">
        <v>2536</v>
      </c>
      <c r="Z724" s="2" t="s">
        <v>649</v>
      </c>
      <c r="AA724" s="2" t="s">
        <v>45</v>
      </c>
      <c r="AB724" s="2" t="s">
        <v>2723</v>
      </c>
    </row>
    <row r="725" spans="1:28" x14ac:dyDescent="0.25">
      <c r="A725" s="81">
        <v>46236</v>
      </c>
      <c r="B725" s="8" t="s">
        <v>55</v>
      </c>
      <c r="C725" s="8" t="s">
        <v>56</v>
      </c>
      <c r="D725" s="8" t="s">
        <v>43</v>
      </c>
      <c r="E725" s="8" t="s">
        <v>47</v>
      </c>
      <c r="F725" s="13"/>
      <c r="G725" s="59"/>
      <c r="H725" s="6"/>
      <c r="I725" s="6">
        <f>IFERROR(O725/K725,)</f>
        <v>0</v>
      </c>
      <c r="J725" s="2" t="s">
        <v>548</v>
      </c>
      <c r="K725" s="2" t="s">
        <v>548</v>
      </c>
      <c r="L725" s="2" t="s">
        <v>548</v>
      </c>
      <c r="M725" s="2" t="s">
        <v>45</v>
      </c>
      <c r="N725" s="2" t="s">
        <v>45</v>
      </c>
      <c r="O725" s="56" t="s">
        <v>45</v>
      </c>
      <c r="P725" s="2" t="s">
        <v>45</v>
      </c>
      <c r="Q725" s="2" t="s">
        <v>45</v>
      </c>
      <c r="R725" s="2" t="s">
        <v>548</v>
      </c>
      <c r="S725" s="2" t="s">
        <v>548</v>
      </c>
      <c r="T725" s="2" t="s">
        <v>45</v>
      </c>
      <c r="U725" s="2" t="s">
        <v>548</v>
      </c>
      <c r="V725" s="2" t="s">
        <v>45</v>
      </c>
      <c r="W725" s="2" t="s">
        <v>2600</v>
      </c>
      <c r="X725" s="2" t="s">
        <v>45</v>
      </c>
      <c r="Y725" s="2" t="s">
        <v>45</v>
      </c>
      <c r="Z725" s="2" t="s">
        <v>548</v>
      </c>
      <c r="AA725" s="2" t="s">
        <v>45</v>
      </c>
      <c r="AB725" s="2" t="s">
        <v>2601</v>
      </c>
    </row>
    <row r="726" spans="1:28" x14ac:dyDescent="0.25">
      <c r="A726" s="81">
        <v>46236</v>
      </c>
      <c r="B726" s="8" t="s">
        <v>55</v>
      </c>
      <c r="C726" s="8" t="s">
        <v>56</v>
      </c>
      <c r="D726" s="8" t="s">
        <v>67</v>
      </c>
      <c r="E726" s="8" t="s">
        <v>47</v>
      </c>
      <c r="F726" s="13"/>
      <c r="G726" s="59"/>
      <c r="H726" s="6"/>
      <c r="I726" s="6">
        <f>IFERROR(O726/K726,)</f>
        <v>0</v>
      </c>
      <c r="J726" s="2" t="s">
        <v>45</v>
      </c>
      <c r="K726" s="2" t="s">
        <v>45</v>
      </c>
      <c r="L726" s="2" t="s">
        <v>45</v>
      </c>
      <c r="M726" s="2" t="s">
        <v>45</v>
      </c>
      <c r="N726" s="2" t="s">
        <v>45</v>
      </c>
      <c r="O726" s="56" t="s">
        <v>45</v>
      </c>
      <c r="P726" s="2" t="s">
        <v>45</v>
      </c>
      <c r="Q726" s="2" t="s">
        <v>45</v>
      </c>
      <c r="R726" s="2" t="s">
        <v>45</v>
      </c>
      <c r="S726" s="2" t="s">
        <v>45</v>
      </c>
      <c r="T726" s="2" t="s">
        <v>45</v>
      </c>
      <c r="U726" s="2" t="s">
        <v>45</v>
      </c>
      <c r="V726" s="2" t="s">
        <v>45</v>
      </c>
      <c r="W726" s="2" t="s">
        <v>45</v>
      </c>
      <c r="X726" s="2" t="s">
        <v>45</v>
      </c>
      <c r="Y726" s="2" t="s">
        <v>45</v>
      </c>
      <c r="Z726" s="2" t="s">
        <v>45</v>
      </c>
      <c r="AA726" s="2" t="s">
        <v>45</v>
      </c>
      <c r="AB726" s="2" t="s">
        <v>45</v>
      </c>
    </row>
    <row r="727" spans="1:28" x14ac:dyDescent="0.25">
      <c r="A727" s="81">
        <v>46236</v>
      </c>
      <c r="B727" s="8" t="s">
        <v>55</v>
      </c>
      <c r="C727" s="8" t="s">
        <v>56</v>
      </c>
      <c r="D727" s="8" t="s">
        <v>50</v>
      </c>
      <c r="E727" s="8" t="s">
        <v>47</v>
      </c>
      <c r="F727" s="13"/>
      <c r="G727" s="59"/>
      <c r="H727" s="6"/>
      <c r="I727" s="6">
        <f>IFERROR(O727/K727,)</f>
        <v>0</v>
      </c>
      <c r="J727" s="2" t="s">
        <v>548</v>
      </c>
      <c r="K727" s="2" t="s">
        <v>548</v>
      </c>
      <c r="L727" s="2" t="s">
        <v>548</v>
      </c>
      <c r="M727" s="2" t="s">
        <v>45</v>
      </c>
      <c r="N727" s="2" t="s">
        <v>548</v>
      </c>
      <c r="O727" s="56">
        <v>0</v>
      </c>
      <c r="P727" s="2" t="s">
        <v>45</v>
      </c>
      <c r="Q727" s="2" t="s">
        <v>45</v>
      </c>
      <c r="R727" s="2" t="s">
        <v>548</v>
      </c>
      <c r="S727" s="2" t="s">
        <v>548</v>
      </c>
      <c r="T727" s="2" t="s">
        <v>45</v>
      </c>
      <c r="U727" s="2" t="s">
        <v>548</v>
      </c>
      <c r="V727" s="2" t="s">
        <v>45</v>
      </c>
      <c r="W727" s="2" t="s">
        <v>2630</v>
      </c>
      <c r="X727" s="2" t="s">
        <v>2631</v>
      </c>
      <c r="Y727" s="2" t="s">
        <v>2632</v>
      </c>
      <c r="Z727" s="2" t="s">
        <v>548</v>
      </c>
      <c r="AA727" s="2" t="s">
        <v>45</v>
      </c>
      <c r="AB727" s="2" t="s">
        <v>2633</v>
      </c>
    </row>
    <row r="728" spans="1:28" x14ac:dyDescent="0.25">
      <c r="A728" s="81">
        <v>46236</v>
      </c>
      <c r="B728" s="8" t="s">
        <v>55</v>
      </c>
      <c r="C728" s="8" t="s">
        <v>56</v>
      </c>
      <c r="D728" s="8" t="s">
        <v>52</v>
      </c>
      <c r="E728" s="8" t="s">
        <v>47</v>
      </c>
      <c r="F728" s="13"/>
      <c r="G728" s="59"/>
      <c r="H728" s="6"/>
      <c r="I728" s="6">
        <f>IFERROR(O728/K728,)</f>
        <v>0</v>
      </c>
      <c r="J728" s="2" t="s">
        <v>45</v>
      </c>
      <c r="K728" s="2" t="s">
        <v>45</v>
      </c>
      <c r="L728" s="2" t="s">
        <v>45</v>
      </c>
      <c r="M728" s="2" t="s">
        <v>45</v>
      </c>
      <c r="N728" s="2" t="s">
        <v>45</v>
      </c>
      <c r="O728" s="56" t="s">
        <v>45</v>
      </c>
      <c r="P728" s="2" t="s">
        <v>45</v>
      </c>
      <c r="Q728" s="2" t="s">
        <v>45</v>
      </c>
      <c r="R728" s="2" t="s">
        <v>45</v>
      </c>
      <c r="S728" s="2" t="s">
        <v>45</v>
      </c>
      <c r="T728" s="2" t="s">
        <v>45</v>
      </c>
      <c r="U728" s="2" t="s">
        <v>45</v>
      </c>
      <c r="V728" s="2" t="s">
        <v>45</v>
      </c>
      <c r="W728" s="2" t="s">
        <v>45</v>
      </c>
      <c r="X728" s="2" t="s">
        <v>45</v>
      </c>
      <c r="Y728" s="2" t="s">
        <v>45</v>
      </c>
      <c r="Z728" s="2" t="s">
        <v>45</v>
      </c>
      <c r="AA728" s="2" t="s">
        <v>45</v>
      </c>
      <c r="AB728" s="2" t="s">
        <v>45</v>
      </c>
    </row>
    <row r="729" spans="1:28" x14ac:dyDescent="0.25">
      <c r="A729" s="81">
        <v>46236</v>
      </c>
      <c r="B729" s="8" t="s">
        <v>55</v>
      </c>
      <c r="C729" s="8" t="s">
        <v>56</v>
      </c>
      <c r="D729" s="7" t="s">
        <v>46</v>
      </c>
      <c r="E729" s="7" t="s">
        <v>47</v>
      </c>
      <c r="F729" s="13"/>
      <c r="G729" s="59"/>
      <c r="H729" s="6"/>
      <c r="I729" s="6">
        <f>IFERROR(O729/K729,)</f>
        <v>0</v>
      </c>
      <c r="J729" s="2" t="s">
        <v>548</v>
      </c>
      <c r="K729" s="2" t="s">
        <v>548</v>
      </c>
      <c r="L729" s="2" t="s">
        <v>548</v>
      </c>
      <c r="M729" s="2" t="s">
        <v>45</v>
      </c>
      <c r="N729" s="2" t="s">
        <v>548</v>
      </c>
      <c r="O729" s="56">
        <v>0</v>
      </c>
      <c r="P729" s="2" t="s">
        <v>45</v>
      </c>
      <c r="Q729" s="2" t="s">
        <v>45</v>
      </c>
      <c r="R729" s="2" t="s">
        <v>548</v>
      </c>
      <c r="S729" s="2" t="s">
        <v>548</v>
      </c>
      <c r="T729" s="2" t="s">
        <v>45</v>
      </c>
      <c r="U729" s="2" t="s">
        <v>548</v>
      </c>
      <c r="V729" s="2" t="s">
        <v>45</v>
      </c>
      <c r="W729" s="2" t="s">
        <v>2665</v>
      </c>
      <c r="X729" s="2" t="s">
        <v>2666</v>
      </c>
      <c r="Y729" s="2" t="s">
        <v>2667</v>
      </c>
      <c r="Z729" s="2" t="s">
        <v>548</v>
      </c>
      <c r="AA729" s="2" t="s">
        <v>45</v>
      </c>
      <c r="AB729" s="2" t="s">
        <v>2668</v>
      </c>
    </row>
    <row r="730" spans="1:28" x14ac:dyDescent="0.25">
      <c r="A730" s="81">
        <v>46236</v>
      </c>
      <c r="B730" s="8" t="s">
        <v>2254</v>
      </c>
      <c r="C730" s="8" t="s">
        <v>36</v>
      </c>
      <c r="D730" s="8" t="s">
        <v>48</v>
      </c>
      <c r="E730" s="7" t="s">
        <v>38</v>
      </c>
      <c r="F730" s="13">
        <v>2705</v>
      </c>
      <c r="G730" s="59"/>
      <c r="H730" s="6">
        <f>24000/7</f>
        <v>3428.5714285714284</v>
      </c>
      <c r="I730" s="6">
        <f>IFERROR(O730/K730,)</f>
        <v>768.40077071290943</v>
      </c>
      <c r="J730" s="2" t="s">
        <v>1785</v>
      </c>
      <c r="K730" s="2">
        <v>5.19</v>
      </c>
      <c r="L730" s="2" t="s">
        <v>1696</v>
      </c>
      <c r="M730" s="2" t="s">
        <v>2724</v>
      </c>
      <c r="N730" s="2" t="s">
        <v>2725</v>
      </c>
      <c r="O730" s="56">
        <v>3988</v>
      </c>
      <c r="P730" s="2" t="s">
        <v>2503</v>
      </c>
      <c r="Q730" s="2" t="s">
        <v>2726</v>
      </c>
      <c r="R730" s="2" t="s">
        <v>1821</v>
      </c>
      <c r="S730" s="2" t="s">
        <v>961</v>
      </c>
      <c r="T730" s="2" t="s">
        <v>961</v>
      </c>
      <c r="U730" s="2" t="s">
        <v>2727</v>
      </c>
      <c r="V730" s="2" t="s">
        <v>2728</v>
      </c>
      <c r="W730" s="2" t="s">
        <v>2729</v>
      </c>
      <c r="X730" s="2" t="s">
        <v>2730</v>
      </c>
      <c r="Y730" s="2" t="s">
        <v>2731</v>
      </c>
      <c r="Z730" s="2" t="s">
        <v>548</v>
      </c>
      <c r="AA730" s="2" t="s">
        <v>548</v>
      </c>
      <c r="AB730" s="2" t="s">
        <v>2691</v>
      </c>
    </row>
    <row r="731" spans="1:28" x14ac:dyDescent="0.25">
      <c r="A731" s="81">
        <v>46236</v>
      </c>
      <c r="B731" s="8" t="s">
        <v>55</v>
      </c>
      <c r="C731" s="8" t="s">
        <v>56</v>
      </c>
      <c r="D731" s="8" t="s">
        <v>49</v>
      </c>
      <c r="E731" s="8" t="s">
        <v>47</v>
      </c>
      <c r="F731" s="13"/>
      <c r="G731" s="59"/>
      <c r="H731" s="6"/>
      <c r="I731" s="6">
        <f>IFERROR(O731/K731,)</f>
        <v>0</v>
      </c>
      <c r="J731" s="2" t="s">
        <v>45</v>
      </c>
      <c r="K731" s="2" t="s">
        <v>45</v>
      </c>
      <c r="L731" s="2" t="s">
        <v>45</v>
      </c>
      <c r="M731" s="2" t="s">
        <v>45</v>
      </c>
      <c r="N731" s="2" t="s">
        <v>45</v>
      </c>
      <c r="O731" s="56" t="s">
        <v>45</v>
      </c>
      <c r="P731" s="2" t="s">
        <v>45</v>
      </c>
      <c r="Q731" s="2" t="s">
        <v>45</v>
      </c>
      <c r="R731" s="2" t="s">
        <v>45</v>
      </c>
      <c r="S731" s="2" t="s">
        <v>45</v>
      </c>
      <c r="T731" s="2" t="s">
        <v>45</v>
      </c>
      <c r="U731" s="2" t="s">
        <v>45</v>
      </c>
      <c r="V731" s="2" t="s">
        <v>45</v>
      </c>
      <c r="W731" s="2" t="s">
        <v>45</v>
      </c>
      <c r="X731" s="2" t="s">
        <v>45</v>
      </c>
      <c r="Y731" s="2" t="s">
        <v>45</v>
      </c>
      <c r="Z731" s="2" t="s">
        <v>45</v>
      </c>
      <c r="AA731" s="2" t="s">
        <v>45</v>
      </c>
      <c r="AB731" s="2" t="s">
        <v>45</v>
      </c>
    </row>
    <row r="732" spans="1:28" x14ac:dyDescent="0.25">
      <c r="A732" s="4"/>
      <c r="B732" s="8"/>
      <c r="C732" s="8"/>
      <c r="D732" s="7"/>
      <c r="E732" s="7"/>
      <c r="F732" s="13"/>
      <c r="G732" s="59"/>
      <c r="H732" s="6"/>
      <c r="I732" s="6"/>
      <c r="J732" s="2"/>
      <c r="K732" s="2"/>
      <c r="L732" s="2"/>
      <c r="M732" s="2"/>
      <c r="N732" s="2"/>
      <c r="O732" s="77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 spans="1:28" x14ac:dyDescent="0.25">
      <c r="A733" s="4"/>
      <c r="B733" s="8"/>
      <c r="C733" s="8"/>
      <c r="D733" s="7"/>
      <c r="E733" s="7"/>
      <c r="F733" s="13"/>
      <c r="G733" s="59"/>
      <c r="H733" s="6"/>
      <c r="I733" s="6"/>
      <c r="J733" s="2"/>
      <c r="K733" s="2"/>
      <c r="L733" s="2"/>
      <c r="M733" s="2"/>
      <c r="N733" s="2"/>
      <c r="O733" s="77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4"/>
      <c r="B734" s="8"/>
      <c r="C734" s="8"/>
      <c r="D734" s="7"/>
      <c r="E734" s="7"/>
      <c r="F734" s="13"/>
      <c r="G734" s="59"/>
      <c r="H734" s="6"/>
      <c r="I734" s="6"/>
      <c r="J734" s="2"/>
      <c r="K734" s="2"/>
      <c r="L734" s="2"/>
      <c r="M734" s="2"/>
      <c r="N734" s="2"/>
      <c r="O734" s="77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 spans="1:28" x14ac:dyDescent="0.25">
      <c r="A735" s="4"/>
      <c r="B735" s="8"/>
      <c r="C735" s="8"/>
      <c r="D735" s="7"/>
      <c r="E735" s="7"/>
      <c r="F735" s="13"/>
      <c r="G735" s="59"/>
      <c r="H735" s="6"/>
      <c r="I735" s="6"/>
      <c r="J735" s="2"/>
      <c r="K735" s="2"/>
      <c r="L735" s="2"/>
      <c r="M735" s="2"/>
      <c r="N735" s="2"/>
      <c r="O735" s="77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 spans="1:28" x14ac:dyDescent="0.25">
      <c r="A736" s="4"/>
      <c r="B736" s="8"/>
      <c r="C736" s="8"/>
      <c r="D736" s="7"/>
      <c r="E736" s="7"/>
      <c r="F736" s="13"/>
      <c r="G736" s="59"/>
      <c r="H736" s="6"/>
      <c r="I736" s="6"/>
      <c r="J736" s="2"/>
      <c r="K736" s="2"/>
      <c r="L736" s="2"/>
      <c r="M736" s="2"/>
      <c r="N736" s="2"/>
      <c r="O736" s="77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 spans="1:28" x14ac:dyDescent="0.25">
      <c r="A737" s="4"/>
      <c r="B737" s="8"/>
      <c r="C737" s="8"/>
      <c r="D737" s="7"/>
      <c r="E737" s="7"/>
      <c r="F737" s="13"/>
      <c r="G737" s="59"/>
      <c r="H737" s="6"/>
      <c r="I737" s="6"/>
      <c r="J737" s="2"/>
      <c r="K737" s="2"/>
      <c r="L737" s="2"/>
      <c r="M737" s="2"/>
      <c r="N737" s="2"/>
      <c r="O737" s="77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 spans="1:28" x14ac:dyDescent="0.25">
      <c r="A738" s="4"/>
      <c r="B738" s="8"/>
      <c r="C738" s="8"/>
      <c r="D738" s="7"/>
      <c r="E738" s="7"/>
      <c r="F738" s="13"/>
      <c r="G738" s="59"/>
      <c r="H738" s="6"/>
      <c r="I738" s="6"/>
      <c r="J738" s="2"/>
      <c r="K738" s="2"/>
      <c r="L738" s="2"/>
      <c r="M738" s="2"/>
      <c r="N738" s="2"/>
      <c r="O738" s="77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 spans="1:28" x14ac:dyDescent="0.25">
      <c r="A739" s="4"/>
      <c r="B739" s="8"/>
      <c r="C739" s="8"/>
      <c r="D739" s="7"/>
      <c r="E739" s="7"/>
      <c r="F739" s="13"/>
      <c r="G739" s="59"/>
      <c r="H739" s="6"/>
      <c r="I739" s="6"/>
      <c r="J739" s="2"/>
      <c r="K739" s="2"/>
      <c r="L739" s="2"/>
      <c r="M739" s="2"/>
      <c r="N739" s="2"/>
      <c r="O739" s="77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 spans="1:28" x14ac:dyDescent="0.25">
      <c r="A740" s="4"/>
      <c r="B740" s="8"/>
      <c r="C740" s="8"/>
      <c r="D740" s="7"/>
      <c r="E740" s="7"/>
      <c r="F740" s="13"/>
      <c r="G740" s="59"/>
      <c r="H740" s="6"/>
      <c r="I740" s="6"/>
      <c r="J740" s="2"/>
      <c r="K740" s="2"/>
      <c r="L740" s="2"/>
      <c r="M740" s="2"/>
      <c r="N740" s="2"/>
      <c r="O740" s="77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 spans="1:28" x14ac:dyDescent="0.25">
      <c r="A741" s="4"/>
      <c r="B741" s="8"/>
      <c r="C741" s="8"/>
      <c r="D741" s="7"/>
      <c r="E741" s="7"/>
      <c r="F741" s="13"/>
      <c r="G741" s="59"/>
      <c r="H741" s="6"/>
      <c r="I741" s="6"/>
      <c r="J741" s="2"/>
      <c r="K741" s="2"/>
      <c r="L741" s="2"/>
      <c r="M741" s="2"/>
      <c r="N741" s="2"/>
      <c r="O741" s="77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 spans="1:28" x14ac:dyDescent="0.25">
      <c r="A742" s="4"/>
      <c r="B742" s="8"/>
      <c r="C742" s="8"/>
      <c r="D742" s="7"/>
      <c r="E742" s="7"/>
      <c r="F742" s="13"/>
      <c r="G742" s="59"/>
      <c r="H742" s="6"/>
      <c r="I742" s="6"/>
      <c r="J742" s="2"/>
      <c r="K742" s="2"/>
      <c r="L742" s="2"/>
      <c r="M742" s="2"/>
      <c r="N742" s="2"/>
      <c r="O742" s="77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 spans="1:28" x14ac:dyDescent="0.25">
      <c r="A743" s="4"/>
      <c r="B743" s="8"/>
      <c r="C743" s="8"/>
      <c r="D743" s="7"/>
      <c r="E743" s="7"/>
      <c r="F743" s="13"/>
      <c r="G743" s="59"/>
      <c r="H743" s="6"/>
      <c r="I743" s="6"/>
      <c r="J743" s="2"/>
      <c r="K743" s="2"/>
      <c r="L743" s="2"/>
      <c r="M743" s="2"/>
      <c r="N743" s="2"/>
      <c r="O743" s="77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 spans="1:28" x14ac:dyDescent="0.25">
      <c r="A744" s="4"/>
      <c r="B744" s="8"/>
      <c r="C744" s="8"/>
      <c r="D744" s="7"/>
      <c r="E744" s="7"/>
      <c r="F744" s="13"/>
      <c r="G744" s="59"/>
      <c r="H744" s="6"/>
      <c r="I744" s="6"/>
      <c r="J744" s="2"/>
      <c r="K744" s="2"/>
      <c r="L744" s="2"/>
      <c r="M744" s="2"/>
      <c r="N744" s="2"/>
      <c r="O744" s="77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 spans="1:28" x14ac:dyDescent="0.25">
      <c r="A745" s="4"/>
      <c r="B745" s="8"/>
      <c r="C745" s="8"/>
      <c r="D745" s="7"/>
      <c r="E745" s="7"/>
      <c r="F745" s="13"/>
      <c r="G745" s="59"/>
      <c r="H745" s="6"/>
      <c r="I745" s="6"/>
      <c r="J745" s="2"/>
      <c r="K745" s="2"/>
      <c r="L745" s="2"/>
      <c r="M745" s="2"/>
      <c r="N745" s="2"/>
      <c r="O745" s="77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 spans="1:28" x14ac:dyDescent="0.25">
      <c r="A746" s="4"/>
      <c r="B746" s="8"/>
      <c r="C746" s="8"/>
      <c r="D746" s="7"/>
      <c r="E746" s="7"/>
      <c r="F746" s="13"/>
      <c r="G746" s="59"/>
      <c r="H746" s="6"/>
      <c r="I746" s="6"/>
      <c r="J746" s="2"/>
      <c r="K746" s="2"/>
      <c r="L746" s="2"/>
      <c r="M746" s="2"/>
      <c r="N746" s="2"/>
      <c r="O746" s="77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 spans="1:28" x14ac:dyDescent="0.25">
      <c r="A747" s="4"/>
      <c r="B747" s="8"/>
      <c r="C747" s="8"/>
      <c r="D747" s="7"/>
      <c r="E747" s="7"/>
      <c r="F747" s="13"/>
      <c r="G747" s="59"/>
      <c r="H747" s="6"/>
      <c r="I747" s="6"/>
      <c r="J747" s="2"/>
      <c r="K747" s="2"/>
      <c r="L747" s="2"/>
      <c r="M747" s="2"/>
      <c r="N747" s="2"/>
      <c r="O747" s="77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 spans="1:28" x14ac:dyDescent="0.25">
      <c r="A748" s="4"/>
      <c r="B748" s="8"/>
      <c r="C748" s="8"/>
      <c r="D748" s="7"/>
      <c r="E748" s="7"/>
      <c r="F748" s="13"/>
      <c r="G748" s="59"/>
      <c r="H748" s="6"/>
      <c r="I748" s="6"/>
      <c r="J748" s="2"/>
      <c r="K748" s="2"/>
      <c r="L748" s="2"/>
      <c r="M748" s="2"/>
      <c r="N748" s="2"/>
      <c r="O748" s="77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 spans="1:28" x14ac:dyDescent="0.25">
      <c r="A749" s="4"/>
      <c r="B749" s="8"/>
      <c r="C749" s="8"/>
      <c r="D749" s="7"/>
      <c r="E749" s="7"/>
      <c r="F749" s="13"/>
      <c r="G749" s="59"/>
      <c r="H749" s="6"/>
      <c r="I749" s="6"/>
      <c r="J749" s="2"/>
      <c r="K749" s="2"/>
      <c r="L749" s="2"/>
      <c r="M749" s="2"/>
      <c r="N749" s="2"/>
      <c r="O749" s="77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spans="1:28" x14ac:dyDescent="0.25">
      <c r="A750" s="4"/>
      <c r="B750" s="8"/>
      <c r="C750" s="8"/>
      <c r="D750" s="7"/>
      <c r="E750" s="7"/>
      <c r="F750" s="13"/>
      <c r="G750" s="59"/>
      <c r="H750" s="6"/>
      <c r="I750" s="6"/>
      <c r="J750" s="2"/>
      <c r="K750" s="2"/>
      <c r="L750" s="2"/>
      <c r="M750" s="2"/>
      <c r="N750" s="2"/>
      <c r="O750" s="77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spans="1:28" x14ac:dyDescent="0.25">
      <c r="A751" s="4"/>
      <c r="B751" s="8"/>
      <c r="C751" s="8"/>
      <c r="D751" s="7"/>
      <c r="E751" s="7"/>
      <c r="F751" s="13"/>
      <c r="G751" s="59"/>
      <c r="H751" s="6"/>
      <c r="I751" s="6"/>
      <c r="J751" s="2"/>
      <c r="K751" s="2"/>
      <c r="L751" s="2"/>
      <c r="M751" s="2"/>
      <c r="N751" s="2"/>
      <c r="O751" s="77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spans="1:28" x14ac:dyDescent="0.25">
      <c r="A752" s="4"/>
      <c r="B752" s="8"/>
      <c r="C752" s="8"/>
      <c r="D752" s="7"/>
      <c r="E752" s="7"/>
      <c r="F752" s="13"/>
      <c r="G752" s="59"/>
      <c r="H752" s="6"/>
      <c r="I752" s="6"/>
      <c r="J752" s="2"/>
      <c r="K752" s="2"/>
      <c r="L752" s="2"/>
      <c r="M752" s="2"/>
      <c r="N752" s="2"/>
      <c r="O752" s="77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spans="1:28" x14ac:dyDescent="0.25">
      <c r="A753" s="4"/>
      <c r="B753" s="8"/>
      <c r="C753" s="8"/>
      <c r="D753" s="7"/>
      <c r="E753" s="7"/>
      <c r="F753" s="13"/>
      <c r="G753" s="59"/>
      <c r="H753" s="6"/>
      <c r="I753" s="6"/>
      <c r="J753" s="2"/>
      <c r="K753" s="2"/>
      <c r="L753" s="2"/>
      <c r="M753" s="2"/>
      <c r="N753" s="2"/>
      <c r="O753" s="77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spans="1:28" x14ac:dyDescent="0.25">
      <c r="A754" s="4"/>
      <c r="B754" s="8"/>
      <c r="C754" s="8"/>
      <c r="D754" s="7"/>
      <c r="E754" s="7"/>
      <c r="F754" s="13"/>
      <c r="G754" s="59"/>
      <c r="H754" s="6"/>
      <c r="I754" s="6"/>
      <c r="J754" s="2"/>
      <c r="K754" s="2"/>
      <c r="L754" s="2"/>
      <c r="M754" s="2"/>
      <c r="N754" s="2"/>
      <c r="O754" s="77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spans="1:28" x14ac:dyDescent="0.25">
      <c r="A755" s="4"/>
      <c r="B755" s="8"/>
      <c r="C755" s="8"/>
      <c r="D755" s="7"/>
      <c r="E755" s="7"/>
      <c r="F755" s="13"/>
      <c r="G755" s="59"/>
      <c r="H755" s="6"/>
      <c r="I755" s="6"/>
      <c r="J755" s="2"/>
      <c r="K755" s="2"/>
      <c r="L755" s="2"/>
      <c r="M755" s="2"/>
      <c r="N755" s="2"/>
      <c r="O755" s="77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spans="1:28" x14ac:dyDescent="0.25">
      <c r="A756" s="4"/>
      <c r="B756" s="8"/>
      <c r="C756" s="8"/>
      <c r="D756" s="7"/>
      <c r="E756" s="7"/>
      <c r="F756" s="13"/>
      <c r="G756" s="59"/>
      <c r="H756" s="6"/>
      <c r="I756" s="6"/>
      <c r="J756" s="2"/>
      <c r="K756" s="2"/>
      <c r="L756" s="2"/>
      <c r="M756" s="2"/>
      <c r="N756" s="2"/>
      <c r="O756" s="77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spans="1:28" x14ac:dyDescent="0.25">
      <c r="A757" s="4"/>
      <c r="B757" s="8"/>
      <c r="C757" s="8"/>
      <c r="D757" s="7"/>
      <c r="E757" s="7"/>
      <c r="F757" s="13"/>
      <c r="G757" s="59"/>
      <c r="H757" s="6"/>
      <c r="I757" s="6"/>
      <c r="J757" s="2"/>
      <c r="K757" s="2"/>
      <c r="L757" s="2"/>
      <c r="M757" s="2"/>
      <c r="N757" s="2"/>
      <c r="O757" s="77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spans="1:28" x14ac:dyDescent="0.25">
      <c r="A758" s="4"/>
      <c r="B758" s="8"/>
      <c r="C758" s="8"/>
      <c r="D758" s="7"/>
      <c r="E758" s="7"/>
      <c r="F758" s="13"/>
      <c r="G758" s="59"/>
      <c r="H758" s="6"/>
      <c r="I758" s="6"/>
      <c r="J758" s="2"/>
      <c r="K758" s="2"/>
      <c r="L758" s="2"/>
      <c r="M758" s="2"/>
      <c r="N758" s="2"/>
      <c r="O758" s="77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spans="1:28" x14ac:dyDescent="0.25">
      <c r="A759" s="4"/>
      <c r="B759" s="8"/>
      <c r="C759" s="8"/>
      <c r="D759" s="7"/>
      <c r="E759" s="7"/>
      <c r="F759" s="13"/>
      <c r="G759" s="59"/>
      <c r="H759" s="6"/>
      <c r="I759" s="6"/>
      <c r="J759" s="2"/>
      <c r="K759" s="2"/>
      <c r="L759" s="2"/>
      <c r="M759" s="2"/>
      <c r="N759" s="2"/>
      <c r="O759" s="77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/>
      <c r="B760" s="8"/>
      <c r="C760" s="8"/>
      <c r="D760" s="7"/>
      <c r="E760" s="7"/>
      <c r="F760" s="13"/>
      <c r="G760" s="59"/>
      <c r="H760" s="6"/>
      <c r="I760" s="6"/>
      <c r="J760" s="2"/>
      <c r="K760" s="2"/>
      <c r="L760" s="2"/>
      <c r="M760" s="2"/>
      <c r="N760" s="2"/>
      <c r="O760" s="77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spans="1:28" x14ac:dyDescent="0.25">
      <c r="A761" s="4"/>
      <c r="B761" s="8"/>
      <c r="C761" s="8"/>
      <c r="D761" s="7"/>
      <c r="E761" s="7"/>
      <c r="F761" s="13"/>
      <c r="G761" s="59"/>
      <c r="H761" s="6"/>
      <c r="I761" s="6"/>
      <c r="J761" s="2"/>
      <c r="K761" s="2"/>
      <c r="L761" s="2"/>
      <c r="M761" s="2"/>
      <c r="N761" s="2"/>
      <c r="O761" s="77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spans="1:28" x14ac:dyDescent="0.25">
      <c r="A762" s="4"/>
      <c r="B762" s="8"/>
      <c r="C762" s="8"/>
      <c r="D762" s="7"/>
      <c r="E762" s="7"/>
      <c r="F762" s="13"/>
      <c r="G762" s="59"/>
      <c r="H762" s="6"/>
      <c r="I762" s="6"/>
      <c r="J762" s="2"/>
      <c r="K762" s="2"/>
      <c r="L762" s="2"/>
      <c r="M762" s="2"/>
      <c r="N762" s="2"/>
      <c r="O762" s="77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spans="1:28" x14ac:dyDescent="0.25">
      <c r="A763" s="4"/>
      <c r="B763" s="8"/>
      <c r="C763" s="8"/>
      <c r="D763" s="7"/>
      <c r="E763" s="7"/>
      <c r="F763" s="13"/>
      <c r="G763" s="59"/>
      <c r="H763" s="6"/>
      <c r="I763" s="6"/>
      <c r="J763" s="2"/>
      <c r="K763" s="2"/>
      <c r="L763" s="2"/>
      <c r="M763" s="2"/>
      <c r="N763" s="2"/>
      <c r="O763" s="77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spans="1:28" x14ac:dyDescent="0.25">
      <c r="A764" s="4"/>
      <c r="B764" s="8"/>
      <c r="C764" s="8"/>
      <c r="D764" s="7"/>
      <c r="E764" s="7"/>
      <c r="F764" s="13"/>
      <c r="G764" s="59"/>
      <c r="H764" s="6"/>
      <c r="I764" s="6"/>
      <c r="J764" s="2"/>
      <c r="K764" s="2"/>
      <c r="L764" s="2"/>
      <c r="M764" s="2"/>
      <c r="N764" s="2"/>
      <c r="O764" s="77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4"/>
      <c r="B765" s="8"/>
      <c r="C765" s="8"/>
      <c r="D765" s="7"/>
      <c r="E765" s="7"/>
      <c r="F765" s="13"/>
      <c r="G765" s="59"/>
      <c r="H765" s="6"/>
      <c r="I765" s="6"/>
      <c r="J765" s="2"/>
      <c r="K765" s="2"/>
      <c r="L765" s="2"/>
      <c r="M765" s="2"/>
      <c r="N765" s="2"/>
      <c r="O765" s="77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spans="1:28" x14ac:dyDescent="0.25">
      <c r="A766" s="4"/>
      <c r="B766" s="8"/>
      <c r="C766" s="8"/>
      <c r="D766" s="7"/>
      <c r="E766" s="7"/>
      <c r="F766" s="13"/>
      <c r="G766" s="59"/>
      <c r="H766" s="6"/>
      <c r="I766" s="6"/>
      <c r="J766" s="2"/>
      <c r="K766" s="2"/>
      <c r="L766" s="2"/>
      <c r="M766" s="2"/>
      <c r="N766" s="2"/>
      <c r="O766" s="77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spans="1:28" x14ac:dyDescent="0.25">
      <c r="A767" s="4"/>
      <c r="B767" s="8"/>
      <c r="C767" s="8"/>
      <c r="D767" s="7"/>
      <c r="E767" s="7"/>
      <c r="F767" s="13"/>
      <c r="G767" s="59"/>
      <c r="H767" s="6"/>
      <c r="I767" s="6"/>
      <c r="J767" s="2"/>
      <c r="K767" s="2"/>
      <c r="L767" s="2"/>
      <c r="M767" s="2"/>
      <c r="N767" s="2"/>
      <c r="O767" s="77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spans="1:28" x14ac:dyDescent="0.25">
      <c r="A768" s="4"/>
      <c r="B768" s="8"/>
      <c r="C768" s="8"/>
      <c r="D768" s="7"/>
      <c r="E768" s="7"/>
      <c r="F768" s="13"/>
      <c r="G768" s="59"/>
      <c r="H768" s="6"/>
      <c r="I768" s="6"/>
      <c r="J768" s="2"/>
      <c r="K768" s="2"/>
      <c r="L768" s="2"/>
      <c r="M768" s="2"/>
      <c r="N768" s="2"/>
      <c r="O768" s="77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spans="1:28" x14ac:dyDescent="0.25">
      <c r="A769" s="4"/>
      <c r="B769" s="8"/>
      <c r="C769" s="8"/>
      <c r="D769" s="7"/>
      <c r="E769" s="7"/>
      <c r="F769" s="13"/>
      <c r="G769" s="59"/>
      <c r="H769" s="6"/>
      <c r="I769" s="6"/>
      <c r="J769" s="2"/>
      <c r="K769" s="2"/>
      <c r="L769" s="2"/>
      <c r="M769" s="2"/>
      <c r="N769" s="2"/>
      <c r="O769" s="77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spans="1:28" x14ac:dyDescent="0.25">
      <c r="A770" s="4"/>
      <c r="B770" s="8"/>
      <c r="C770" s="8"/>
      <c r="D770" s="7"/>
      <c r="E770" s="7"/>
      <c r="F770" s="13"/>
      <c r="G770" s="59"/>
      <c r="H770" s="6"/>
      <c r="I770" s="6"/>
      <c r="J770" s="2"/>
      <c r="K770" s="2"/>
      <c r="L770" s="2"/>
      <c r="M770" s="2"/>
      <c r="N770" s="2"/>
      <c r="O770" s="77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spans="1:28" x14ac:dyDescent="0.25">
      <c r="A771" s="4"/>
      <c r="B771" s="8"/>
      <c r="C771" s="8"/>
      <c r="D771" s="7"/>
      <c r="E771" s="7"/>
      <c r="F771" s="13"/>
      <c r="G771" s="59"/>
      <c r="H771" s="6"/>
      <c r="I771" s="6"/>
      <c r="J771" s="2"/>
      <c r="K771" s="2"/>
      <c r="L771" s="2"/>
      <c r="M771" s="2"/>
      <c r="N771" s="2"/>
      <c r="O771" s="77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spans="1:28" x14ac:dyDescent="0.25">
      <c r="A772" s="4"/>
      <c r="B772" s="8"/>
      <c r="C772" s="8"/>
      <c r="D772" s="7"/>
      <c r="E772" s="7"/>
      <c r="F772" s="13"/>
      <c r="G772" s="59"/>
      <c r="H772" s="6"/>
      <c r="I772" s="6"/>
      <c r="J772" s="2"/>
      <c r="K772" s="2"/>
      <c r="L772" s="2"/>
      <c r="M772" s="2"/>
      <c r="N772" s="2"/>
      <c r="O772" s="77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spans="1:28" x14ac:dyDescent="0.25">
      <c r="A773" s="4"/>
      <c r="B773" s="8"/>
      <c r="C773" s="8"/>
      <c r="D773" s="7"/>
      <c r="E773" s="7"/>
      <c r="F773" s="13"/>
      <c r="G773" s="59"/>
      <c r="H773" s="6"/>
      <c r="I773" s="6"/>
      <c r="J773" s="2"/>
      <c r="K773" s="2"/>
      <c r="L773" s="2"/>
      <c r="M773" s="2"/>
      <c r="N773" s="2"/>
      <c r="O773" s="77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spans="1:28" x14ac:dyDescent="0.25">
      <c r="A774" s="4"/>
      <c r="B774" s="8"/>
      <c r="C774" s="8"/>
      <c r="D774" s="7"/>
      <c r="E774" s="7"/>
      <c r="F774" s="13"/>
      <c r="G774" s="59"/>
      <c r="H774" s="6"/>
      <c r="I774" s="6"/>
      <c r="J774" s="2"/>
      <c r="K774" s="2"/>
      <c r="L774" s="2"/>
      <c r="M774" s="2"/>
      <c r="N774" s="2"/>
      <c r="O774" s="77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spans="1:28" x14ac:dyDescent="0.25">
      <c r="A775" s="4"/>
      <c r="B775" s="8"/>
      <c r="C775" s="8"/>
      <c r="D775" s="7"/>
      <c r="E775" s="7"/>
      <c r="F775" s="13"/>
      <c r="G775" s="59"/>
      <c r="H775" s="6"/>
      <c r="I775" s="6"/>
      <c r="J775" s="2"/>
      <c r="K775" s="2"/>
      <c r="L775" s="2"/>
      <c r="M775" s="2"/>
      <c r="N775" s="2"/>
      <c r="O775" s="77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spans="1:28" x14ac:dyDescent="0.25">
      <c r="A776" s="4"/>
      <c r="B776" s="8"/>
      <c r="C776" s="8"/>
      <c r="D776" s="7"/>
      <c r="E776" s="7"/>
      <c r="F776" s="13"/>
      <c r="G776" s="59"/>
      <c r="H776" s="6"/>
      <c r="I776" s="6"/>
      <c r="J776" s="2"/>
      <c r="K776" s="2"/>
      <c r="L776" s="2"/>
      <c r="M776" s="2"/>
      <c r="N776" s="2"/>
      <c r="O776" s="77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spans="1:28" x14ac:dyDescent="0.25">
      <c r="A777" s="4"/>
      <c r="B777" s="8"/>
      <c r="C777" s="8"/>
      <c r="D777" s="7"/>
      <c r="E777" s="7"/>
      <c r="F777" s="13"/>
      <c r="G777" s="59"/>
      <c r="H777" s="6"/>
      <c r="I777" s="6"/>
      <c r="J777" s="2"/>
      <c r="K777" s="2"/>
      <c r="L777" s="2"/>
      <c r="M777" s="2"/>
      <c r="N777" s="2"/>
      <c r="O777" s="77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spans="1:28" x14ac:dyDescent="0.25">
      <c r="A778" s="4"/>
      <c r="B778" s="8"/>
      <c r="C778" s="8"/>
      <c r="D778" s="7"/>
      <c r="E778" s="7"/>
      <c r="F778" s="13"/>
      <c r="G778" s="59"/>
      <c r="H778" s="6"/>
      <c r="I778" s="6"/>
      <c r="J778" s="2"/>
      <c r="K778" s="2"/>
      <c r="L778" s="2"/>
      <c r="M778" s="2"/>
      <c r="N778" s="2"/>
      <c r="O778" s="77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/>
      <c r="B779" s="8"/>
      <c r="C779" s="8"/>
      <c r="D779" s="7"/>
      <c r="E779" s="7"/>
      <c r="F779" s="13"/>
      <c r="G779" s="59"/>
      <c r="H779" s="6"/>
      <c r="I779" s="6"/>
      <c r="J779" s="2"/>
      <c r="K779" s="2"/>
      <c r="L779" s="2"/>
      <c r="M779" s="2"/>
      <c r="N779" s="2"/>
      <c r="O779" s="77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spans="1:28" x14ac:dyDescent="0.25">
      <c r="A780" s="4"/>
      <c r="B780" s="8"/>
      <c r="C780" s="8"/>
      <c r="D780" s="7"/>
      <c r="E780" s="7"/>
      <c r="F780" s="13"/>
      <c r="G780" s="59"/>
      <c r="H780" s="6"/>
      <c r="I780" s="6"/>
      <c r="J780" s="2"/>
      <c r="K780" s="2"/>
      <c r="L780" s="2"/>
      <c r="M780" s="2"/>
      <c r="N780" s="2"/>
      <c r="O780" s="77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spans="1:28" x14ac:dyDescent="0.25">
      <c r="A781" s="4"/>
      <c r="B781" s="8"/>
      <c r="C781" s="8"/>
      <c r="D781" s="7"/>
      <c r="E781" s="7"/>
      <c r="F781" s="13"/>
      <c r="G781" s="59"/>
      <c r="H781" s="6"/>
      <c r="I781" s="6"/>
      <c r="J781" s="2"/>
      <c r="K781" s="2"/>
      <c r="L781" s="2"/>
      <c r="M781" s="2"/>
      <c r="N781" s="2"/>
      <c r="O781" s="77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spans="1:28" x14ac:dyDescent="0.25">
      <c r="A782" s="4"/>
      <c r="B782" s="8"/>
      <c r="C782" s="8"/>
      <c r="D782" s="7"/>
      <c r="E782" s="7"/>
      <c r="F782" s="13"/>
      <c r="G782" s="59"/>
      <c r="H782" s="6"/>
      <c r="I782" s="6"/>
      <c r="J782" s="2"/>
      <c r="K782" s="2"/>
      <c r="L782" s="2"/>
      <c r="M782" s="2"/>
      <c r="N782" s="2"/>
      <c r="O782" s="77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spans="1:28" x14ac:dyDescent="0.25">
      <c r="A783" s="4"/>
      <c r="B783" s="8"/>
      <c r="C783" s="8"/>
      <c r="D783" s="7"/>
      <c r="E783" s="7"/>
      <c r="F783" s="13"/>
      <c r="G783" s="59"/>
      <c r="H783" s="6"/>
      <c r="I783" s="6"/>
      <c r="J783" s="2"/>
      <c r="K783" s="2"/>
      <c r="L783" s="2"/>
      <c r="M783" s="2"/>
      <c r="N783" s="2"/>
      <c r="O783" s="77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spans="1:28" x14ac:dyDescent="0.25">
      <c r="A784" s="4"/>
      <c r="B784" s="8"/>
      <c r="C784" s="8"/>
      <c r="D784" s="7"/>
      <c r="E784" s="7"/>
      <c r="F784" s="13"/>
      <c r="G784" s="59"/>
      <c r="H784" s="6"/>
      <c r="I784" s="6"/>
      <c r="J784" s="2"/>
      <c r="K784" s="2"/>
      <c r="L784" s="2"/>
      <c r="M784" s="2"/>
      <c r="N784" s="2"/>
      <c r="O784" s="77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spans="1:28" x14ac:dyDescent="0.25">
      <c r="A785" s="4"/>
      <c r="B785" s="8"/>
      <c r="C785" s="8"/>
      <c r="D785" s="7"/>
      <c r="E785" s="7"/>
      <c r="F785" s="13"/>
      <c r="G785" s="59"/>
      <c r="H785" s="6"/>
      <c r="I785" s="6"/>
      <c r="J785" s="2"/>
      <c r="K785" s="2"/>
      <c r="L785" s="2"/>
      <c r="M785" s="2"/>
      <c r="N785" s="2"/>
      <c r="O785" s="77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spans="1:28" x14ac:dyDescent="0.25">
      <c r="A786" s="4"/>
      <c r="B786" s="8"/>
      <c r="C786" s="8"/>
      <c r="D786" s="7"/>
      <c r="E786" s="7"/>
      <c r="F786" s="13"/>
      <c r="G786" s="59"/>
      <c r="H786" s="6"/>
      <c r="I786" s="6"/>
      <c r="J786" s="2"/>
      <c r="K786" s="2"/>
      <c r="L786" s="2"/>
      <c r="M786" s="2"/>
      <c r="N786" s="2"/>
      <c r="O786" s="77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spans="1:28" x14ac:dyDescent="0.25">
      <c r="A787" s="4"/>
      <c r="B787" s="8"/>
      <c r="C787" s="8"/>
      <c r="D787" s="7"/>
      <c r="E787" s="7"/>
      <c r="F787" s="13"/>
      <c r="G787" s="59"/>
      <c r="H787" s="6"/>
      <c r="I787" s="6"/>
      <c r="J787" s="2"/>
      <c r="K787" s="2"/>
      <c r="L787" s="2"/>
      <c r="M787" s="2"/>
      <c r="N787" s="2"/>
      <c r="O787" s="77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spans="1:28" x14ac:dyDescent="0.25">
      <c r="A788" s="4"/>
      <c r="B788" s="8"/>
      <c r="C788" s="8"/>
      <c r="D788" s="7"/>
      <c r="E788" s="7"/>
      <c r="F788" s="13"/>
      <c r="G788" s="59"/>
      <c r="H788" s="6"/>
      <c r="I788" s="6"/>
      <c r="J788" s="2"/>
      <c r="K788" s="2"/>
      <c r="L788" s="2"/>
      <c r="M788" s="2"/>
      <c r="N788" s="2"/>
      <c r="O788" s="77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spans="1:28" x14ac:dyDescent="0.25">
      <c r="A789" s="4"/>
      <c r="B789" s="8"/>
      <c r="C789" s="8"/>
      <c r="D789" s="7"/>
      <c r="E789" s="7"/>
      <c r="F789" s="13"/>
      <c r="G789" s="59"/>
      <c r="H789" s="6"/>
      <c r="I789" s="6"/>
      <c r="J789" s="2"/>
      <c r="K789" s="2"/>
      <c r="L789" s="2"/>
      <c r="M789" s="2"/>
      <c r="N789" s="2"/>
      <c r="O789" s="77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spans="1:28" x14ac:dyDescent="0.25">
      <c r="A790" s="4"/>
      <c r="B790" s="8"/>
      <c r="C790" s="8"/>
      <c r="D790" s="7"/>
      <c r="E790" s="7"/>
      <c r="F790" s="13"/>
      <c r="G790" s="59"/>
      <c r="H790" s="6"/>
      <c r="I790" s="6"/>
      <c r="J790" s="2"/>
      <c r="K790" s="2"/>
      <c r="L790" s="2"/>
      <c r="M790" s="2"/>
      <c r="N790" s="2"/>
      <c r="O790" s="77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spans="1:28" x14ac:dyDescent="0.25">
      <c r="A791" s="4"/>
      <c r="B791" s="8"/>
      <c r="C791" s="8"/>
      <c r="D791" s="7"/>
      <c r="E791" s="7"/>
      <c r="F791" s="13"/>
      <c r="G791" s="59"/>
      <c r="H791" s="6"/>
      <c r="I791" s="6"/>
      <c r="J791" s="2"/>
      <c r="K791" s="2"/>
      <c r="L791" s="2"/>
      <c r="M791" s="2"/>
      <c r="N791" s="2"/>
      <c r="O791" s="77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spans="1:28" x14ac:dyDescent="0.25">
      <c r="A792" s="4"/>
      <c r="B792" s="8"/>
      <c r="C792" s="8"/>
      <c r="D792" s="7"/>
      <c r="E792" s="7"/>
      <c r="F792" s="13"/>
      <c r="G792" s="59"/>
      <c r="H792" s="6"/>
      <c r="I792" s="6"/>
      <c r="J792" s="2"/>
      <c r="K792" s="2"/>
      <c r="L792" s="2"/>
      <c r="M792" s="2"/>
      <c r="N792" s="2"/>
      <c r="O792" s="77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spans="1:28" x14ac:dyDescent="0.25">
      <c r="A793" s="4"/>
      <c r="B793" s="8"/>
      <c r="C793" s="8"/>
      <c r="D793" s="7"/>
      <c r="E793" s="7"/>
      <c r="F793" s="13"/>
      <c r="G793" s="59"/>
      <c r="H793" s="6"/>
      <c r="I793" s="6"/>
      <c r="J793" s="2"/>
      <c r="K793" s="2"/>
      <c r="L793" s="2"/>
      <c r="M793" s="2"/>
      <c r="N793" s="2"/>
      <c r="O793" s="77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spans="1:28" x14ac:dyDescent="0.25">
      <c r="A794" s="4"/>
      <c r="B794" s="8"/>
      <c r="C794" s="8"/>
      <c r="D794" s="7"/>
      <c r="E794" s="7"/>
      <c r="F794" s="13"/>
      <c r="G794" s="59"/>
      <c r="H794" s="6"/>
      <c r="I794" s="6"/>
      <c r="J794" s="2"/>
      <c r="K794" s="2"/>
      <c r="L794" s="2"/>
      <c r="M794" s="2"/>
      <c r="N794" s="2"/>
      <c r="O794" s="77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spans="1:28" x14ac:dyDescent="0.25">
      <c r="A795" s="4"/>
      <c r="B795" s="8"/>
      <c r="C795" s="8"/>
      <c r="D795" s="7"/>
      <c r="E795" s="7"/>
      <c r="F795" s="13"/>
      <c r="G795" s="59"/>
      <c r="H795" s="6"/>
      <c r="I795" s="6"/>
      <c r="J795" s="2"/>
      <c r="K795" s="2"/>
      <c r="L795" s="2"/>
      <c r="M795" s="2"/>
      <c r="N795" s="2"/>
      <c r="O795" s="77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spans="1:28" x14ac:dyDescent="0.25">
      <c r="A796" s="4"/>
      <c r="B796" s="8"/>
      <c r="C796" s="8"/>
      <c r="D796" s="7"/>
      <c r="E796" s="7"/>
      <c r="F796" s="13"/>
      <c r="G796" s="59"/>
      <c r="H796" s="6"/>
      <c r="I796" s="6"/>
      <c r="J796" s="2"/>
      <c r="K796" s="2"/>
      <c r="L796" s="2"/>
      <c r="M796" s="2"/>
      <c r="N796" s="2"/>
      <c r="O796" s="77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25">
      <c r="A797" s="4"/>
      <c r="B797" s="8"/>
      <c r="C797" s="8"/>
      <c r="D797" s="7"/>
      <c r="E797" s="7"/>
      <c r="F797" s="13"/>
      <c r="G797" s="59"/>
      <c r="H797" s="6"/>
      <c r="I797" s="6"/>
      <c r="J797" s="2"/>
      <c r="K797" s="2"/>
      <c r="L797" s="2"/>
      <c r="M797" s="2"/>
      <c r="N797" s="2"/>
      <c r="O797" s="77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spans="1:28" x14ac:dyDescent="0.25">
      <c r="A798" s="4"/>
      <c r="B798" s="8"/>
      <c r="C798" s="8"/>
      <c r="D798" s="7"/>
      <c r="E798" s="7"/>
      <c r="F798" s="13"/>
      <c r="G798" s="59"/>
      <c r="H798" s="6"/>
      <c r="I798" s="6"/>
      <c r="J798" s="2"/>
      <c r="K798" s="2"/>
      <c r="L798" s="2"/>
      <c r="M798" s="2"/>
      <c r="N798" s="2"/>
      <c r="O798" s="77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spans="1:28" x14ac:dyDescent="0.25">
      <c r="A799" s="4"/>
      <c r="B799" s="8"/>
      <c r="C799" s="8"/>
      <c r="D799" s="7"/>
      <c r="E799" s="7"/>
      <c r="F799" s="13"/>
      <c r="G799" s="59"/>
      <c r="H799" s="6"/>
      <c r="I799" s="6"/>
      <c r="J799" s="2"/>
      <c r="K799" s="2"/>
      <c r="L799" s="2"/>
      <c r="M799" s="2"/>
      <c r="N799" s="2"/>
      <c r="O799" s="77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spans="1:28" x14ac:dyDescent="0.25">
      <c r="A800" s="4"/>
      <c r="B800" s="8"/>
      <c r="C800" s="8"/>
      <c r="D800" s="7"/>
      <c r="E800" s="7"/>
      <c r="F800" s="13"/>
      <c r="G800" s="59"/>
      <c r="H800" s="6"/>
      <c r="I800" s="6"/>
      <c r="J800" s="2"/>
      <c r="K800" s="2"/>
      <c r="L800" s="2"/>
      <c r="M800" s="2"/>
      <c r="N800" s="2"/>
      <c r="O800" s="77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spans="1:28" x14ac:dyDescent="0.25">
      <c r="A801" s="4"/>
      <c r="B801" s="8"/>
      <c r="C801" s="8"/>
      <c r="D801" s="7"/>
      <c r="E801" s="7"/>
      <c r="F801" s="13"/>
      <c r="G801" s="59"/>
      <c r="H801" s="6"/>
      <c r="I801" s="6"/>
      <c r="J801" s="2"/>
      <c r="K801" s="2"/>
      <c r="L801" s="2"/>
      <c r="M801" s="2"/>
      <c r="N801" s="2"/>
      <c r="O801" s="77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spans="1:28" x14ac:dyDescent="0.25">
      <c r="A802" s="4"/>
      <c r="B802" s="8"/>
      <c r="C802" s="8"/>
      <c r="D802" s="7"/>
      <c r="E802" s="7"/>
      <c r="F802" s="13"/>
      <c r="G802" s="59"/>
      <c r="H802" s="6"/>
      <c r="I802" s="6"/>
      <c r="J802" s="2"/>
      <c r="K802" s="2"/>
      <c r="L802" s="2"/>
      <c r="M802" s="2"/>
      <c r="N802" s="2"/>
      <c r="O802" s="77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spans="1:28" x14ac:dyDescent="0.25">
      <c r="A803" s="4"/>
      <c r="B803" s="8"/>
      <c r="C803" s="8"/>
      <c r="D803" s="7"/>
      <c r="E803" s="7"/>
      <c r="F803" s="13"/>
      <c r="G803" s="59"/>
      <c r="H803" s="6"/>
      <c r="I803" s="6"/>
      <c r="J803" s="2"/>
      <c r="K803" s="2"/>
      <c r="L803" s="2"/>
      <c r="M803" s="2"/>
      <c r="N803" s="2"/>
      <c r="O803" s="77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spans="1:28" x14ac:dyDescent="0.25">
      <c r="A804" s="4"/>
      <c r="B804" s="8"/>
      <c r="C804" s="8"/>
      <c r="D804" s="7"/>
      <c r="E804" s="7"/>
      <c r="F804" s="13"/>
      <c r="G804" s="59"/>
      <c r="H804" s="6"/>
      <c r="I804" s="6"/>
      <c r="J804" s="2"/>
      <c r="K804" s="2"/>
      <c r="L804" s="2"/>
      <c r="M804" s="2"/>
      <c r="N804" s="2"/>
      <c r="O804" s="77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spans="1:28" x14ac:dyDescent="0.25">
      <c r="A805" s="4"/>
      <c r="B805" s="8"/>
      <c r="C805" s="8"/>
      <c r="D805" s="7"/>
      <c r="E805" s="7"/>
      <c r="F805" s="13"/>
      <c r="G805" s="59"/>
      <c r="H805" s="6"/>
      <c r="I805" s="6"/>
      <c r="J805" s="2"/>
      <c r="K805" s="2"/>
      <c r="L805" s="2"/>
      <c r="M805" s="2"/>
      <c r="N805" s="2"/>
      <c r="O805" s="77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25">
      <c r="A806" s="4"/>
      <c r="B806" s="8"/>
      <c r="C806" s="8"/>
      <c r="D806" s="7"/>
      <c r="E806" s="7"/>
      <c r="F806" s="13"/>
      <c r="G806" s="59"/>
      <c r="H806" s="6"/>
      <c r="I806" s="6"/>
      <c r="J806" s="2"/>
      <c r="K806" s="2"/>
      <c r="L806" s="2"/>
      <c r="M806" s="2"/>
      <c r="N806" s="2"/>
      <c r="O806" s="77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spans="1:28" x14ac:dyDescent="0.25">
      <c r="A807" s="4"/>
      <c r="B807" s="8"/>
      <c r="C807" s="8"/>
      <c r="D807" s="7"/>
      <c r="E807" s="7"/>
      <c r="F807" s="13"/>
      <c r="G807" s="59"/>
      <c r="H807" s="6"/>
      <c r="I807" s="6"/>
      <c r="J807" s="2"/>
      <c r="K807" s="2"/>
      <c r="L807" s="2"/>
      <c r="M807" s="2"/>
      <c r="N807" s="2"/>
      <c r="O807" s="77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spans="1:28" x14ac:dyDescent="0.25">
      <c r="A808" s="4"/>
      <c r="B808" s="8"/>
      <c r="C808" s="8"/>
      <c r="D808" s="7"/>
      <c r="E808" s="7"/>
      <c r="F808" s="13"/>
      <c r="G808" s="59"/>
      <c r="H808" s="6"/>
      <c r="I808" s="6"/>
      <c r="J808" s="2"/>
      <c r="K808" s="2"/>
      <c r="L808" s="2"/>
      <c r="M808" s="2"/>
      <c r="N808" s="2"/>
      <c r="O808" s="77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25">
      <c r="A809" s="4"/>
      <c r="B809" s="8"/>
      <c r="C809" s="8"/>
      <c r="D809" s="7"/>
      <c r="E809" s="7"/>
      <c r="F809" s="13"/>
      <c r="G809" s="59"/>
      <c r="H809" s="6"/>
      <c r="I809" s="6"/>
      <c r="J809" s="2"/>
      <c r="K809" s="2"/>
      <c r="L809" s="2"/>
      <c r="M809" s="2"/>
      <c r="N809" s="2"/>
      <c r="O809" s="77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spans="1:28" x14ac:dyDescent="0.25">
      <c r="A810" s="4"/>
      <c r="B810" s="8"/>
      <c r="C810" s="8"/>
      <c r="D810" s="7"/>
      <c r="E810" s="7"/>
      <c r="F810" s="13"/>
      <c r="G810" s="59"/>
      <c r="H810" s="6"/>
      <c r="I810" s="6"/>
      <c r="J810" s="2"/>
      <c r="K810" s="2"/>
      <c r="L810" s="2"/>
      <c r="M810" s="2"/>
      <c r="N810" s="2"/>
      <c r="O810" s="77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spans="1:28" x14ac:dyDescent="0.25">
      <c r="A811" s="4"/>
      <c r="B811" s="8"/>
      <c r="C811" s="8"/>
      <c r="D811" s="7"/>
      <c r="E811" s="7"/>
      <c r="F811" s="13"/>
      <c r="G811" s="59"/>
      <c r="H811" s="6"/>
      <c r="I811" s="6"/>
      <c r="J811" s="2"/>
      <c r="K811" s="2"/>
      <c r="L811" s="2"/>
      <c r="M811" s="2"/>
      <c r="N811" s="2"/>
      <c r="O811" s="77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spans="1:28" x14ac:dyDescent="0.25">
      <c r="A812" s="4"/>
      <c r="B812" s="8"/>
      <c r="C812" s="8"/>
      <c r="D812" s="7"/>
      <c r="E812" s="7"/>
      <c r="F812" s="13"/>
      <c r="G812" s="59"/>
      <c r="H812" s="6"/>
      <c r="I812" s="6"/>
      <c r="J812" s="2"/>
      <c r="K812" s="2"/>
      <c r="L812" s="2"/>
      <c r="M812" s="2"/>
      <c r="N812" s="2"/>
      <c r="O812" s="77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spans="1:28" x14ac:dyDescent="0.25">
      <c r="A813" s="4"/>
      <c r="B813" s="8"/>
      <c r="C813" s="8"/>
      <c r="D813" s="7"/>
      <c r="E813" s="7"/>
      <c r="F813" s="13"/>
      <c r="G813" s="59"/>
      <c r="H813" s="6"/>
      <c r="I813" s="6"/>
      <c r="J813" s="2"/>
      <c r="K813" s="2"/>
      <c r="L813" s="2"/>
      <c r="M813" s="2"/>
      <c r="N813" s="2"/>
      <c r="O813" s="77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spans="1:28" x14ac:dyDescent="0.25">
      <c r="A814" s="4"/>
      <c r="B814" s="8"/>
      <c r="C814" s="8"/>
      <c r="D814" s="7"/>
      <c r="E814" s="7"/>
      <c r="F814" s="13"/>
      <c r="G814" s="59"/>
      <c r="H814" s="6"/>
      <c r="I814" s="6"/>
      <c r="J814" s="2"/>
      <c r="K814" s="2"/>
      <c r="L814" s="2"/>
      <c r="M814" s="2"/>
      <c r="N814" s="2"/>
      <c r="O814" s="77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spans="1:28" x14ac:dyDescent="0.25">
      <c r="A815" s="4"/>
      <c r="B815" s="8"/>
      <c r="C815" s="8"/>
      <c r="D815" s="7"/>
      <c r="E815" s="7"/>
      <c r="F815" s="13"/>
      <c r="G815" s="59"/>
      <c r="H815" s="6"/>
      <c r="I815" s="6"/>
      <c r="J815" s="2"/>
      <c r="K815" s="2"/>
      <c r="L815" s="2"/>
      <c r="M815" s="2"/>
      <c r="N815" s="2"/>
      <c r="O815" s="77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/>
      <c r="B816" s="8"/>
      <c r="C816" s="8"/>
      <c r="D816" s="7"/>
      <c r="E816" s="7"/>
      <c r="F816" s="13"/>
      <c r="G816" s="59"/>
      <c r="H816" s="6"/>
      <c r="I816" s="6"/>
      <c r="J816" s="2"/>
      <c r="K816" s="2"/>
      <c r="L816" s="2"/>
      <c r="M816" s="2"/>
      <c r="N816" s="2"/>
      <c r="O816" s="77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spans="1:28" x14ac:dyDescent="0.25">
      <c r="A817" s="4"/>
      <c r="B817" s="8"/>
      <c r="C817" s="8"/>
      <c r="D817" s="7"/>
      <c r="E817" s="7"/>
      <c r="F817" s="13"/>
      <c r="G817" s="59"/>
      <c r="H817" s="6"/>
      <c r="I817" s="6"/>
      <c r="J817" s="2"/>
      <c r="K817" s="2"/>
      <c r="L817" s="2"/>
      <c r="M817" s="2"/>
      <c r="N817" s="2"/>
      <c r="O817" s="77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spans="1:28" x14ac:dyDescent="0.25">
      <c r="A818" s="4"/>
      <c r="B818" s="8"/>
      <c r="C818" s="8"/>
      <c r="D818" s="7"/>
      <c r="E818" s="7"/>
      <c r="F818" s="13"/>
      <c r="G818" s="59"/>
      <c r="H818" s="6"/>
      <c r="I818" s="6"/>
      <c r="J818" s="2"/>
      <c r="K818" s="2"/>
      <c r="L818" s="2"/>
      <c r="M818" s="2"/>
      <c r="N818" s="2"/>
      <c r="O818" s="77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spans="1:28" x14ac:dyDescent="0.25">
      <c r="A819" s="4"/>
      <c r="B819" s="8"/>
      <c r="C819" s="8"/>
      <c r="D819" s="7"/>
      <c r="E819" s="7"/>
      <c r="F819" s="13"/>
      <c r="G819" s="59"/>
      <c r="H819" s="6"/>
      <c r="I819" s="6"/>
      <c r="J819" s="2"/>
      <c r="K819" s="2"/>
      <c r="L819" s="2"/>
      <c r="M819" s="2"/>
      <c r="N819" s="2"/>
      <c r="O819" s="77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spans="1:28" x14ac:dyDescent="0.25">
      <c r="A820" s="4"/>
      <c r="B820" s="8"/>
      <c r="C820" s="8"/>
      <c r="D820" s="7"/>
      <c r="E820" s="7"/>
      <c r="F820" s="13"/>
      <c r="G820" s="59"/>
      <c r="H820" s="6"/>
      <c r="I820" s="6"/>
      <c r="J820" s="2"/>
      <c r="K820" s="2"/>
      <c r="L820" s="2"/>
      <c r="M820" s="2"/>
      <c r="N820" s="2"/>
      <c r="O820" s="77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spans="1:28" x14ac:dyDescent="0.25">
      <c r="A821" s="4"/>
      <c r="B821" s="8"/>
      <c r="C821" s="8"/>
      <c r="D821" s="7"/>
      <c r="E821" s="7"/>
      <c r="F821" s="13"/>
      <c r="G821" s="59"/>
      <c r="H821" s="6"/>
      <c r="I821" s="6"/>
      <c r="J821" s="2"/>
      <c r="K821" s="2"/>
      <c r="L821" s="2"/>
      <c r="M821" s="2"/>
      <c r="N821" s="2"/>
      <c r="O821" s="77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spans="1:28" x14ac:dyDescent="0.25">
      <c r="A822" s="4"/>
      <c r="B822" s="8"/>
      <c r="C822" s="8"/>
      <c r="D822" s="7"/>
      <c r="E822" s="7"/>
      <c r="F822" s="13"/>
      <c r="G822" s="59"/>
      <c r="H822" s="6"/>
      <c r="I822" s="6"/>
      <c r="J822" s="2"/>
      <c r="K822" s="2"/>
      <c r="L822" s="2"/>
      <c r="M822" s="2"/>
      <c r="N822" s="2"/>
      <c r="O822" s="77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spans="1:28" x14ac:dyDescent="0.25">
      <c r="A823" s="4"/>
      <c r="B823" s="8"/>
      <c r="C823" s="8"/>
      <c r="D823" s="7"/>
      <c r="E823" s="7"/>
      <c r="F823" s="13"/>
      <c r="G823" s="59"/>
      <c r="H823" s="6"/>
      <c r="I823" s="6"/>
      <c r="J823" s="2"/>
      <c r="K823" s="2"/>
      <c r="L823" s="2"/>
      <c r="M823" s="2"/>
      <c r="N823" s="2"/>
      <c r="O823" s="77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spans="1:28" x14ac:dyDescent="0.25">
      <c r="A824" s="4"/>
      <c r="B824" s="8"/>
      <c r="C824" s="8"/>
      <c r="D824" s="7"/>
      <c r="E824" s="7"/>
      <c r="F824" s="13"/>
      <c r="G824" s="59"/>
      <c r="H824" s="6"/>
      <c r="I824" s="6"/>
      <c r="J824" s="2"/>
      <c r="K824" s="2"/>
      <c r="L824" s="2"/>
      <c r="M824" s="2"/>
      <c r="N824" s="2"/>
      <c r="O824" s="77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/>
      <c r="B825" s="8"/>
      <c r="C825" s="8"/>
      <c r="D825" s="7"/>
      <c r="E825" s="7"/>
      <c r="F825" s="13"/>
      <c r="G825" s="59"/>
      <c r="H825" s="6"/>
      <c r="I825" s="6"/>
      <c r="J825" s="2"/>
      <c r="K825" s="2"/>
      <c r="L825" s="2"/>
      <c r="M825" s="2"/>
      <c r="N825" s="2"/>
      <c r="O825" s="77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spans="1:28" x14ac:dyDescent="0.25">
      <c r="A826" s="4"/>
      <c r="B826" s="8"/>
      <c r="C826" s="8"/>
      <c r="D826" s="7"/>
      <c r="E826" s="7"/>
      <c r="F826" s="13"/>
      <c r="G826" s="59"/>
      <c r="H826" s="6"/>
      <c r="I826" s="6"/>
      <c r="J826" s="2"/>
      <c r="K826" s="2"/>
      <c r="L826" s="2"/>
      <c r="M826" s="2"/>
      <c r="N826" s="2"/>
      <c r="O826" s="77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spans="1:28" x14ac:dyDescent="0.25">
      <c r="A827" s="4"/>
      <c r="B827" s="8"/>
      <c r="C827" s="8"/>
      <c r="D827" s="7"/>
      <c r="E827" s="7"/>
      <c r="F827" s="13"/>
      <c r="G827" s="59"/>
      <c r="H827" s="6"/>
      <c r="I827" s="6"/>
      <c r="J827" s="2"/>
      <c r="K827" s="2"/>
      <c r="L827" s="2"/>
      <c r="M827" s="2"/>
      <c r="N827" s="2"/>
      <c r="O827" s="77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spans="1:28" x14ac:dyDescent="0.25">
      <c r="A828" s="4"/>
      <c r="B828" s="8"/>
      <c r="C828" s="8"/>
      <c r="D828" s="7"/>
      <c r="E828" s="7"/>
      <c r="F828" s="13"/>
      <c r="G828" s="59"/>
      <c r="H828" s="6"/>
      <c r="I828" s="6"/>
      <c r="J828" s="2"/>
      <c r="K828" s="2"/>
      <c r="L828" s="2"/>
      <c r="M828" s="2"/>
      <c r="N828" s="2"/>
      <c r="O828" s="77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spans="1:28" x14ac:dyDescent="0.25">
      <c r="A829" s="4"/>
      <c r="B829" s="8"/>
      <c r="C829" s="8"/>
      <c r="D829" s="7"/>
      <c r="E829" s="7"/>
      <c r="F829" s="13"/>
      <c r="G829" s="59"/>
      <c r="H829" s="6"/>
      <c r="I829" s="6"/>
      <c r="J829" s="2"/>
      <c r="K829" s="2"/>
      <c r="L829" s="2"/>
      <c r="M829" s="2"/>
      <c r="N829" s="2"/>
      <c r="O829" s="77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spans="1:28" x14ac:dyDescent="0.25">
      <c r="A830" s="4"/>
      <c r="B830" s="8"/>
      <c r="C830" s="8"/>
      <c r="D830" s="7"/>
      <c r="E830" s="7"/>
      <c r="F830" s="13"/>
      <c r="G830" s="59"/>
      <c r="H830" s="6"/>
      <c r="I830" s="6"/>
      <c r="J830" s="2"/>
      <c r="K830" s="2"/>
      <c r="L830" s="2"/>
      <c r="M830" s="2"/>
      <c r="N830" s="2"/>
      <c r="O830" s="77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/>
      <c r="B831" s="8"/>
      <c r="C831" s="8"/>
      <c r="D831" s="7"/>
      <c r="E831" s="7"/>
      <c r="F831" s="13"/>
      <c r="G831" s="59"/>
      <c r="H831" s="6"/>
      <c r="I831" s="6"/>
      <c r="J831" s="2"/>
      <c r="K831" s="2"/>
      <c r="L831" s="2"/>
      <c r="M831" s="2"/>
      <c r="N831" s="2"/>
      <c r="O831" s="77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spans="1:28" x14ac:dyDescent="0.25">
      <c r="A832" s="4"/>
      <c r="B832" s="8"/>
      <c r="C832" s="8"/>
      <c r="D832" s="7"/>
      <c r="E832" s="7"/>
      <c r="F832" s="13"/>
      <c r="G832" s="59"/>
      <c r="H832" s="6"/>
      <c r="I832" s="6"/>
      <c r="J832" s="2"/>
      <c r="K832" s="2"/>
      <c r="L832" s="2"/>
      <c r="M832" s="2"/>
      <c r="N832" s="2"/>
      <c r="O832" s="77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spans="1:28" x14ac:dyDescent="0.25">
      <c r="A833" s="4"/>
      <c r="B833" s="8"/>
      <c r="C833" s="8"/>
      <c r="D833" s="7"/>
      <c r="E833" s="7"/>
      <c r="F833" s="13"/>
      <c r="G833" s="59"/>
      <c r="H833" s="6"/>
      <c r="I833" s="6"/>
      <c r="J833" s="2"/>
      <c r="K833" s="2"/>
      <c r="L833" s="2"/>
      <c r="M833" s="2"/>
      <c r="N833" s="2"/>
      <c r="O833" s="77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spans="1:28" x14ac:dyDescent="0.25">
      <c r="A834" s="4"/>
      <c r="B834" s="8"/>
      <c r="C834" s="8"/>
      <c r="D834" s="7"/>
      <c r="E834" s="7"/>
      <c r="F834" s="13"/>
      <c r="G834" s="59"/>
      <c r="H834" s="6"/>
      <c r="I834" s="6"/>
      <c r="J834" s="2"/>
      <c r="K834" s="2"/>
      <c r="L834" s="2"/>
      <c r="M834" s="2"/>
      <c r="N834" s="2"/>
      <c r="O834" s="77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spans="1:28" x14ac:dyDescent="0.25">
      <c r="A835" s="4"/>
      <c r="B835" s="8"/>
      <c r="C835" s="8"/>
      <c r="D835" s="7"/>
      <c r="E835" s="7"/>
      <c r="F835" s="13"/>
      <c r="G835" s="59"/>
      <c r="H835" s="6"/>
      <c r="I835" s="6"/>
      <c r="J835" s="2"/>
      <c r="K835" s="2"/>
      <c r="L835" s="2"/>
      <c r="M835" s="2"/>
      <c r="N835" s="2"/>
      <c r="O835" s="77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spans="1:28" x14ac:dyDescent="0.25">
      <c r="A836" s="4"/>
      <c r="B836" s="8"/>
      <c r="C836" s="8"/>
      <c r="D836" s="7"/>
      <c r="E836" s="7"/>
      <c r="F836" s="13"/>
      <c r="G836" s="59"/>
      <c r="H836" s="6"/>
      <c r="I836" s="6"/>
      <c r="J836" s="2"/>
      <c r="K836" s="2"/>
      <c r="L836" s="2"/>
      <c r="M836" s="2"/>
      <c r="N836" s="2"/>
      <c r="O836" s="77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spans="1:28" x14ac:dyDescent="0.25">
      <c r="A837" s="4"/>
      <c r="B837" s="8"/>
      <c r="C837" s="8"/>
      <c r="D837" s="7"/>
      <c r="E837" s="7"/>
      <c r="F837" s="13"/>
      <c r="G837" s="59"/>
      <c r="H837" s="6"/>
      <c r="I837" s="6"/>
      <c r="J837" s="2"/>
      <c r="K837" s="2"/>
      <c r="L837" s="2"/>
      <c r="M837" s="2"/>
      <c r="N837" s="2"/>
      <c r="O837" s="77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spans="1:28" x14ac:dyDescent="0.25">
      <c r="A838" s="4"/>
      <c r="B838" s="8"/>
      <c r="C838" s="8"/>
      <c r="D838" s="7"/>
      <c r="E838" s="7"/>
      <c r="F838" s="13"/>
      <c r="G838" s="59"/>
      <c r="H838" s="6"/>
      <c r="I838" s="6"/>
      <c r="J838" s="2"/>
      <c r="K838" s="2"/>
      <c r="L838" s="2"/>
      <c r="M838" s="2"/>
      <c r="N838" s="2"/>
      <c r="O838" s="77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spans="1:28" x14ac:dyDescent="0.25">
      <c r="A839" s="4"/>
      <c r="B839" s="8"/>
      <c r="C839" s="8"/>
      <c r="D839" s="7"/>
      <c r="E839" s="7"/>
      <c r="F839" s="13"/>
      <c r="G839" s="59"/>
      <c r="H839" s="6"/>
      <c r="I839" s="6"/>
      <c r="J839" s="2"/>
      <c r="K839" s="2"/>
      <c r="L839" s="2"/>
      <c r="M839" s="2"/>
      <c r="N839" s="2"/>
      <c r="O839" s="77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spans="1:28" x14ac:dyDescent="0.25">
      <c r="A840" s="4"/>
      <c r="B840" s="8"/>
      <c r="C840" s="8"/>
      <c r="D840" s="7"/>
      <c r="E840" s="7"/>
      <c r="F840" s="13"/>
      <c r="G840" s="59"/>
      <c r="H840" s="6"/>
      <c r="I840" s="6"/>
      <c r="J840" s="2"/>
      <c r="K840" s="2"/>
      <c r="L840" s="2"/>
      <c r="M840" s="2"/>
      <c r="N840" s="2"/>
      <c r="O840" s="77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spans="1:28" x14ac:dyDescent="0.25">
      <c r="A841" s="4"/>
      <c r="B841" s="8"/>
      <c r="C841" s="8"/>
      <c r="D841" s="7"/>
      <c r="E841" s="7"/>
      <c r="F841" s="13"/>
      <c r="G841" s="59"/>
      <c r="H841" s="6"/>
      <c r="I841" s="6"/>
      <c r="J841" s="2"/>
      <c r="K841" s="2"/>
      <c r="L841" s="2"/>
      <c r="M841" s="2"/>
      <c r="N841" s="2"/>
      <c r="O841" s="77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spans="1:28" x14ac:dyDescent="0.25">
      <c r="A842" s="4"/>
      <c r="B842" s="8"/>
      <c r="C842" s="8"/>
      <c r="D842" s="7"/>
      <c r="E842" s="7"/>
      <c r="F842" s="13"/>
      <c r="G842" s="59"/>
      <c r="H842" s="6"/>
      <c r="I842" s="6"/>
      <c r="J842" s="2"/>
      <c r="K842" s="2"/>
      <c r="L842" s="2"/>
      <c r="M842" s="2"/>
      <c r="N842" s="2"/>
      <c r="O842" s="77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spans="1:28" x14ac:dyDescent="0.25">
      <c r="A843" s="4"/>
      <c r="B843" s="8"/>
      <c r="C843" s="8"/>
      <c r="D843" s="7"/>
      <c r="E843" s="7"/>
      <c r="F843" s="13"/>
      <c r="G843" s="59"/>
      <c r="H843" s="6"/>
      <c r="I843" s="6"/>
      <c r="J843" s="2"/>
      <c r="K843" s="2"/>
      <c r="L843" s="2"/>
      <c r="M843" s="2"/>
      <c r="N843" s="2"/>
      <c r="O843" s="77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spans="1:28" x14ac:dyDescent="0.25">
      <c r="A844" s="4"/>
      <c r="B844" s="8"/>
      <c r="C844" s="8"/>
      <c r="D844" s="7"/>
      <c r="E844" s="7"/>
      <c r="F844" s="13"/>
      <c r="G844" s="59"/>
      <c r="H844" s="6"/>
      <c r="I844" s="6"/>
      <c r="J844" s="2"/>
      <c r="K844" s="2"/>
      <c r="L844" s="2"/>
      <c r="M844" s="2"/>
      <c r="N844" s="2"/>
      <c r="O844" s="77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 spans="1:28" x14ac:dyDescent="0.25">
      <c r="A845" s="4"/>
      <c r="B845" s="8"/>
      <c r="C845" s="8"/>
      <c r="D845" s="7"/>
      <c r="E845" s="7"/>
      <c r="F845" s="13"/>
      <c r="G845" s="59"/>
      <c r="H845" s="6"/>
      <c r="I845" s="6"/>
      <c r="J845" s="2"/>
      <c r="K845" s="2"/>
      <c r="L845" s="2"/>
      <c r="M845" s="2"/>
      <c r="N845" s="2"/>
      <c r="O845" s="77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 spans="1:28" x14ac:dyDescent="0.25">
      <c r="A846" s="4"/>
      <c r="B846" s="8"/>
      <c r="C846" s="8"/>
      <c r="D846" s="7"/>
      <c r="E846" s="7"/>
      <c r="F846" s="13"/>
      <c r="G846" s="59"/>
      <c r="H846" s="6"/>
      <c r="I846" s="6"/>
      <c r="J846" s="2"/>
      <c r="K846" s="2"/>
      <c r="L846" s="2"/>
      <c r="M846" s="2"/>
      <c r="N846" s="2"/>
      <c r="O846" s="77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 spans="1:28" x14ac:dyDescent="0.25">
      <c r="A847" s="4"/>
      <c r="B847" s="8"/>
      <c r="C847" s="8"/>
      <c r="D847" s="7"/>
      <c r="E847" s="7"/>
      <c r="F847" s="13"/>
      <c r="G847" s="59"/>
      <c r="H847" s="6"/>
      <c r="I847" s="6"/>
      <c r="J847" s="2"/>
      <c r="K847" s="2"/>
      <c r="L847" s="2"/>
      <c r="M847" s="2"/>
      <c r="N847" s="2"/>
      <c r="O847" s="77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 spans="1:28" x14ac:dyDescent="0.25">
      <c r="A848" s="4"/>
      <c r="B848" s="8"/>
      <c r="C848" s="8"/>
      <c r="D848" s="7"/>
      <c r="E848" s="7"/>
      <c r="F848" s="13"/>
      <c r="G848" s="59"/>
      <c r="H848" s="6"/>
      <c r="I848" s="6"/>
      <c r="J848" s="2"/>
      <c r="K848" s="2"/>
      <c r="L848" s="2"/>
      <c r="M848" s="2"/>
      <c r="N848" s="2"/>
      <c r="O848" s="77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 spans="1:28" x14ac:dyDescent="0.25">
      <c r="A849" s="4"/>
      <c r="B849" s="8"/>
      <c r="C849" s="8"/>
      <c r="D849" s="7"/>
      <c r="E849" s="7"/>
      <c r="F849" s="13"/>
      <c r="G849" s="59"/>
      <c r="H849" s="6"/>
      <c r="I849" s="6"/>
      <c r="J849" s="2"/>
      <c r="K849" s="2"/>
      <c r="L849" s="2"/>
      <c r="M849" s="2"/>
      <c r="N849" s="2"/>
      <c r="O849" s="77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 spans="1:28" x14ac:dyDescent="0.25">
      <c r="A850" s="4"/>
      <c r="B850" s="8"/>
      <c r="C850" s="8"/>
      <c r="D850" s="7"/>
      <c r="E850" s="7"/>
      <c r="F850" s="13"/>
      <c r="G850" s="59"/>
      <c r="H850" s="6"/>
      <c r="I850" s="6"/>
      <c r="J850" s="2"/>
      <c r="K850" s="2"/>
      <c r="L850" s="2"/>
      <c r="M850" s="2"/>
      <c r="N850" s="2"/>
      <c r="O850" s="77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 spans="1:28" x14ac:dyDescent="0.25">
      <c r="A851" s="4"/>
      <c r="B851" s="8"/>
      <c r="C851" s="8"/>
      <c r="D851" s="7"/>
      <c r="E851" s="7"/>
      <c r="F851" s="13"/>
      <c r="G851" s="59"/>
      <c r="H851" s="6"/>
      <c r="I851" s="6"/>
      <c r="J851" s="2"/>
      <c r="K851" s="2"/>
      <c r="L851" s="2"/>
      <c r="M851" s="2"/>
      <c r="N851" s="2"/>
      <c r="O851" s="77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 spans="1:28" x14ac:dyDescent="0.25">
      <c r="A852" s="4"/>
      <c r="B852" s="8"/>
      <c r="C852" s="8"/>
      <c r="D852" s="7"/>
      <c r="E852" s="7"/>
      <c r="F852" s="13"/>
      <c r="G852" s="59"/>
      <c r="H852" s="6"/>
      <c r="I852" s="6"/>
      <c r="J852" s="2"/>
      <c r="K852" s="2"/>
      <c r="L852" s="2"/>
      <c r="M852" s="2"/>
      <c r="N852" s="2"/>
      <c r="O852" s="77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</sheetData>
  <autoFilter ref="A4:AB731" xr:uid="{00000000-0001-0000-0000-000000000000}">
    <sortState xmlns:xlrd2="http://schemas.microsoft.com/office/spreadsheetml/2017/richdata2" ref="A5:AB671">
      <sortCondition ref="A4:A67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zoomScale="90" zoomScaleNormal="90" workbookViewId="0">
      <selection activeCell="G22" sqref="G22"/>
    </sheetView>
  </sheetViews>
  <sheetFormatPr defaultRowHeight="12.75" x14ac:dyDescent="0.2"/>
  <cols>
    <col min="1" max="1" width="16.7109375" bestFit="1" customWidth="1"/>
    <col min="2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2546</v>
      </c>
      <c r="R1" t="s">
        <v>2547</v>
      </c>
      <c r="S1" t="s">
        <v>2548</v>
      </c>
      <c r="T1" t="s">
        <v>2549</v>
      </c>
    </row>
    <row r="2" spans="1:20" x14ac:dyDescent="0.2">
      <c r="Q2" s="18" t="s">
        <v>982</v>
      </c>
      <c r="R2" s="19">
        <v>12634</v>
      </c>
      <c r="S2" s="19">
        <v>24000</v>
      </c>
      <c r="T2" s="19">
        <v>8479</v>
      </c>
    </row>
    <row r="3" spans="1:20" x14ac:dyDescent="0.2">
      <c r="A3" s="9" t="s">
        <v>2546</v>
      </c>
      <c r="B3" s="15" t="s">
        <v>2548</v>
      </c>
      <c r="C3" s="15" t="s">
        <v>2547</v>
      </c>
      <c r="D3" t="s">
        <v>2550</v>
      </c>
      <c r="Q3" s="18" t="s">
        <v>1361</v>
      </c>
      <c r="R3" s="19">
        <v>8451</v>
      </c>
      <c r="S3" s="19">
        <v>24000</v>
      </c>
      <c r="T3" s="19">
        <v>6570</v>
      </c>
    </row>
    <row r="4" spans="1:20" x14ac:dyDescent="0.2">
      <c r="A4" s="10" t="s">
        <v>2254</v>
      </c>
      <c r="B4" s="15">
        <v>90000</v>
      </c>
      <c r="C4" s="15">
        <v>73396</v>
      </c>
      <c r="D4" s="86">
        <v>34</v>
      </c>
      <c r="Q4" s="18" t="s">
        <v>1827</v>
      </c>
      <c r="R4" s="19">
        <v>21413</v>
      </c>
      <c r="S4" s="19">
        <v>24000</v>
      </c>
      <c r="T4" s="19">
        <v>17022</v>
      </c>
    </row>
    <row r="5" spans="1:20" x14ac:dyDescent="0.2">
      <c r="A5" s="11" t="s">
        <v>47</v>
      </c>
      <c r="B5" s="15">
        <v>90000</v>
      </c>
      <c r="C5" s="15">
        <v>73396</v>
      </c>
      <c r="D5" s="86">
        <v>34</v>
      </c>
      <c r="Q5" s="18" t="s">
        <v>2254</v>
      </c>
      <c r="R5" s="19">
        <v>23332</v>
      </c>
      <c r="S5" s="19">
        <v>23999.999999999996</v>
      </c>
      <c r="T5" s="19">
        <v>17642</v>
      </c>
    </row>
    <row r="6" spans="1:20" x14ac:dyDescent="0.2">
      <c r="A6" s="12">
        <v>46235</v>
      </c>
      <c r="B6" s="15">
        <v>15000</v>
      </c>
      <c r="C6" s="15">
        <v>10880</v>
      </c>
      <c r="D6" s="86">
        <v>7</v>
      </c>
      <c r="Q6" s="18" t="s">
        <v>2551</v>
      </c>
      <c r="R6" s="19">
        <v>65830</v>
      </c>
      <c r="S6" s="19">
        <v>96000</v>
      </c>
      <c r="T6" s="19">
        <v>49713</v>
      </c>
    </row>
    <row r="7" spans="1:20" x14ac:dyDescent="0.2">
      <c r="A7" s="12">
        <v>46234</v>
      </c>
      <c r="B7" s="15">
        <v>15000</v>
      </c>
      <c r="C7" s="15">
        <v>13206</v>
      </c>
      <c r="D7" s="86">
        <v>6</v>
      </c>
    </row>
    <row r="8" spans="1:20" x14ac:dyDescent="0.2">
      <c r="A8" s="12">
        <v>46233</v>
      </c>
      <c r="B8" s="15">
        <v>15000</v>
      </c>
      <c r="C8" s="15">
        <v>13528</v>
      </c>
      <c r="D8" s="86">
        <v>5</v>
      </c>
    </row>
    <row r="9" spans="1:20" x14ac:dyDescent="0.2">
      <c r="A9" s="12">
        <v>46232</v>
      </c>
      <c r="B9" s="15">
        <v>15000</v>
      </c>
      <c r="C9" s="15">
        <v>13669</v>
      </c>
      <c r="D9" s="86">
        <v>5</v>
      </c>
    </row>
    <row r="10" spans="1:20" x14ac:dyDescent="0.2">
      <c r="A10" s="12">
        <v>46231</v>
      </c>
      <c r="B10" s="15">
        <v>15000</v>
      </c>
      <c r="C10" s="15">
        <v>8290</v>
      </c>
      <c r="D10" s="86">
        <v>5</v>
      </c>
    </row>
    <row r="11" spans="1:20" x14ac:dyDescent="0.2">
      <c r="A11" s="12">
        <v>46230</v>
      </c>
      <c r="B11" s="15">
        <v>15000</v>
      </c>
      <c r="C11" s="15">
        <v>13823</v>
      </c>
      <c r="D11" s="86">
        <v>6</v>
      </c>
    </row>
    <row r="12" spans="1:20" hidden="1" x14ac:dyDescent="0.2">
      <c r="A12" s="10" t="s">
        <v>2551</v>
      </c>
      <c r="B12" s="15">
        <v>90000</v>
      </c>
      <c r="C12" s="15">
        <v>73396</v>
      </c>
      <c r="D12" s="86">
        <v>34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2546</v>
      </c>
      <c r="B3" t="s">
        <v>2548</v>
      </c>
      <c r="C3" t="s">
        <v>2552</v>
      </c>
      <c r="O3" s="9" t="s">
        <v>2546</v>
      </c>
      <c r="P3" t="s">
        <v>2548</v>
      </c>
      <c r="Q3" t="s">
        <v>2552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 s="86">
        <v>12</v>
      </c>
      <c r="Q4" s="86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 s="86">
        <v>12</v>
      </c>
      <c r="Q5" s="86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 s="86">
        <v>12</v>
      </c>
      <c r="Q6" s="86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 s="86">
        <v>12</v>
      </c>
      <c r="Q7" s="86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2553</v>
      </c>
      <c r="P8" s="86"/>
      <c r="Q8" s="86"/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2551</v>
      </c>
      <c r="P9" s="86">
        <v>48</v>
      </c>
      <c r="Q9" s="86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2551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2554</v>
      </c>
      <c r="G3" s="17" t="s">
        <v>2555</v>
      </c>
      <c r="H3" s="17" t="s">
        <v>2556</v>
      </c>
      <c r="I3" s="17" t="s">
        <v>2557</v>
      </c>
      <c r="J3" s="17" t="s">
        <v>2558</v>
      </c>
      <c r="K3" s="17" t="s">
        <v>2559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2560</v>
      </c>
    </row>
    <row r="5" spans="6:11" x14ac:dyDescent="0.2">
      <c r="F5" s="17">
        <v>116</v>
      </c>
      <c r="H5" s="17">
        <v>110</v>
      </c>
      <c r="J5" s="17" t="s">
        <v>2561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2562</v>
      </c>
    </row>
    <row r="3" spans="1:17" x14ac:dyDescent="0.2">
      <c r="A3" s="25" t="s">
        <v>7</v>
      </c>
      <c r="B3" s="25" t="s">
        <v>2563</v>
      </c>
      <c r="C3" s="25" t="s">
        <v>2564</v>
      </c>
      <c r="D3" s="25" t="s">
        <v>2565</v>
      </c>
      <c r="E3" s="25" t="s">
        <v>2566</v>
      </c>
      <c r="F3" s="25" t="s">
        <v>2567</v>
      </c>
      <c r="H3" s="22" t="s">
        <v>2567</v>
      </c>
      <c r="I3" s="22" t="s">
        <v>2563</v>
      </c>
      <c r="J3" s="22" t="s">
        <v>2564</v>
      </c>
      <c r="K3" s="22" t="s">
        <v>2566</v>
      </c>
      <c r="L3" s="22" t="s">
        <v>2568</v>
      </c>
      <c r="M3" s="25" t="s">
        <v>2569</v>
      </c>
      <c r="O3" s="25" t="s">
        <v>7</v>
      </c>
      <c r="P3" s="25" t="s">
        <v>2566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2570</v>
      </c>
      <c r="H4" s="28" t="s">
        <v>2570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2570</v>
      </c>
      <c r="H5" s="28" t="s">
        <v>2571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2570</v>
      </c>
      <c r="H6" s="28" t="s">
        <v>2572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2570</v>
      </c>
      <c r="H7" s="28" t="s">
        <v>2573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2570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2570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2570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2570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2570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2570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2571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2571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2571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2571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2571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2571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2571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2572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2572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2572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2572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2572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2572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2572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2572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2572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2572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2572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2572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2572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2573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2573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2573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2573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2573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2573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2573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2573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2573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2573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2573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2573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2573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2573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2573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2573</v>
      </c>
    </row>
    <row r="50" spans="1:6" x14ac:dyDescent="0.2">
      <c r="A50" s="85" t="s">
        <v>2574</v>
      </c>
      <c r="B50" s="85"/>
      <c r="C50" s="85"/>
      <c r="E50" s="23">
        <f>SUM(E4:E49)</f>
        <v>12900</v>
      </c>
    </row>
    <row r="56" spans="1:6" ht="15.75" x14ac:dyDescent="0.25">
      <c r="A56" s="34" t="s">
        <v>2575</v>
      </c>
    </row>
    <row r="57" spans="1:6" ht="25.5" x14ac:dyDescent="0.2">
      <c r="A57" s="35" t="s">
        <v>2576</v>
      </c>
      <c r="B57" s="36" t="s">
        <v>2577</v>
      </c>
      <c r="C57" s="36" t="s">
        <v>2578</v>
      </c>
      <c r="D57" s="36" t="s">
        <v>2579</v>
      </c>
    </row>
    <row r="58" spans="1:6" x14ac:dyDescent="0.2">
      <c r="A58" s="40" t="s">
        <v>2580</v>
      </c>
      <c r="B58" s="37">
        <v>108384.01</v>
      </c>
      <c r="C58" s="37"/>
      <c r="D58" s="37">
        <v>108384.01</v>
      </c>
    </row>
    <row r="59" spans="1:6" x14ac:dyDescent="0.2">
      <c r="A59" s="40" t="s">
        <v>2581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2582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2583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2584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2585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2586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2587</v>
      </c>
      <c r="B65" s="37">
        <v>23860.793000000001</v>
      </c>
      <c r="C65" s="37"/>
      <c r="D65" s="37"/>
    </row>
    <row r="66" spans="1:4" x14ac:dyDescent="0.2">
      <c r="A66" s="40" t="s">
        <v>2588</v>
      </c>
      <c r="B66" s="37">
        <v>1344.431</v>
      </c>
      <c r="C66" s="37"/>
      <c r="D66" s="37"/>
    </row>
    <row r="67" spans="1:4" x14ac:dyDescent="0.2">
      <c r="A67" s="38" t="s">
        <v>2574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2589</v>
      </c>
      <c r="E2" s="48" t="s">
        <v>2590</v>
      </c>
      <c r="F2" s="48" t="s">
        <v>2591</v>
      </c>
      <c r="G2" s="48" t="s">
        <v>2592</v>
      </c>
      <c r="H2" s="48" t="s">
        <v>2593</v>
      </c>
      <c r="I2" s="48" t="s">
        <v>2594</v>
      </c>
      <c r="J2" s="48" t="s">
        <v>2595</v>
      </c>
      <c r="K2" s="48" t="s">
        <v>2596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cp:lastPrinted>2026-08-03T21:17:02Z</cp:lastPrinted>
  <dcterms:created xsi:type="dcterms:W3CDTF">2026-05-12T12:10:54Z</dcterms:created>
  <dcterms:modified xsi:type="dcterms:W3CDTF">2026-08-03T21:26:40Z</dcterms:modified>
  <cp:category/>
  <cp:contentStatus/>
</cp:coreProperties>
</file>