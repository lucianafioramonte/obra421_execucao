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5821" documentId="8_{CE5C6F22-4BE2-41D0-BCDC-905D26C0C4E3}" xr6:coauthVersionLast="47" xr6:coauthVersionMax="47" xr10:uidLastSave="{AA1C9380-1513-4182-A1A2-749DEA5B650A}"/>
  <bookViews>
    <workbookView xWindow="-120" yWindow="-120" windowWidth="20730" windowHeight="11040" tabRatio="678" firstSheet="2" activeTab="2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BD!$A$4:$AB$685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/>
  <pivotCaches>
    <pivotCache cacheId="0" r:id="rId9"/>
    <pivotCache cacheId="1" r:id="rId10"/>
    <pivotCache cacheId="2" r:id="rId11"/>
    <pivotCache cacheId="3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08" i="1" l="1"/>
  <c r="I709" i="1"/>
  <c r="I710" i="1"/>
  <c r="I711" i="1"/>
  <c r="I706" i="1"/>
  <c r="I707" i="1"/>
  <c r="O704" i="1"/>
  <c r="O705" i="1"/>
  <c r="I705" i="1" s="1"/>
  <c r="I704" i="1"/>
  <c r="I703" i="1"/>
  <c r="I702" i="1"/>
  <c r="O700" i="1"/>
  <c r="I700" i="1" s="1"/>
  <c r="O701" i="1"/>
  <c r="I701" i="1" s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<sst xmlns="http://schemas.openxmlformats.org/spreadsheetml/2006/main" count="8808" uniqueCount="2611">
  <si>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</si>
  <si>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</si>
  <si>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</si>
  <si>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</si>
  <si>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</si>
  <si>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</si>
  <si>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</si>
  <si>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</si>
  <si>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</si>
  <si>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</si>
  <si>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</si>
  <si>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</si>
  <si>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</si>
  <si>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</si>
  <si>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</si>
  <si>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</si>
  <si>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</si>
  <si>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</si>
  <si>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</si>
  <si>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</si>
  <si>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</si>
  <si>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</si>
  <si>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</si>
  <si>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</si>
  <si>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</si>
  <si>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</si>
  <si>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</si>
  <si>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</si>
  <si>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</si>
  <si>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</si>
  <si>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</si>
  <si>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</si>
  <si>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</si>
  <si>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</si>
  <si>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</si>
  <si>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</si>
  <si>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</si>
  <si>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</si>
  <si>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</si>
  <si>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</si>
  <si>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</si>
  <si>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</si>
  <si>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</si>
  <si>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</si>
  <si>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</si>
  <si>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</si>
  <si>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</si>
  <si>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</si>
  <si>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</si>
  <si>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</si>
  <si>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</si>
  <si>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</si>
  <si>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</si>
  <si>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</si>
  <si>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</si>
  <si>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</si>
  <si>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</si>
  <si>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</si>
  <si>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</si>
  <si>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</si>
  <si>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</si>
  <si>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</si>
  <si>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</si>
  <si>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</si>
  <si>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</si>
  <si>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</si>
  <si>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</si>
  <si>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</si>
  <si>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</si>
  <si>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</si>
  <si>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</si>
  <si>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</si>
  <si>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</si>
  <si>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</si>
  <si>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</si>
  <si>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</si>
  <si>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</si>
  <si>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</si>
  <si>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</si>
  <si>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</si>
  <si>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</si>
  <si>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</si>
  <si>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</si>
  <si>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</si>
  <si>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</si>
  <si>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</si>
  <si>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</si>
  <si>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</si>
  <si>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</si>
  <si>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</si>
  <si>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</si>
  <si>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</si>
  <si>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</si>
  <si>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</si>
  <si>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</si>
  <si>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</si>
  <si>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</si>
  <si>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</si>
  <si>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</si>
  <si>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</si>
  <si>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</si>
  <si>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</si>
  <si>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</si>
  <si>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</si>
  <si>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</si>
  <si>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</si>
  <si>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</si>
  <si>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</si>
  <si>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</si>
  <si>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</si>
  <si>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</si>
  <si>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</si>
  <si>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</si>
  <si>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</si>
  <si>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</si>
  <si>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</si>
  <si>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</si>
  <si>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</si>
  <si>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</si>
  <si>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</si>
  <si>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</si>
  <si>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</si>
  <si>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</si>
  <si>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</si>
  <si>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</si>
  <si>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</si>
  <si>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</si>
  <si>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</si>
  <si>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</si>
  <si>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</si>
  <si>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</si>
  <si>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</si>
  <si>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</si>
  <si>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</si>
  <si>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</si>
  <si>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</si>
  <si>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</si>
  <si>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</si>
  <si>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</si>
  <si>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</si>
  <si>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</si>
  <si>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</si>
  <si>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</si>
  <si>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</si>
  <si>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</si>
  <si>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</si>
  <si>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</si>
  <si>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</si>
  <si>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</si>
  <si>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</si>
  <si>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</si>
  <si>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</si>
  <si>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</si>
  <si>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</si>
  <si>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</si>
  <si>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</si>
  <si>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</si>
  <si>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</si>
  <si>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</si>
  <si>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</si>
  <si>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</si>
  <si>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</si>
  <si>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</si>
  <si>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</si>
  <si>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</si>
  <si>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</si>
  <si>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</si>
  <si>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</si>
  <si>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</si>
  <si>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</si>
  <si>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</si>
  <si>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</si>
  <si>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</si>
  <si>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</si>
  <si>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</si>
  <si>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</si>
  <si>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</si>
  <si>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</si>
  <si>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</si>
  <si>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</si>
  <si>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</si>
  <si>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</si>
  <si>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</si>
  <si>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</si>
  <si>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</si>
  <si>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</si>
  <si>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</si>
  <si>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</si>
  <si>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</si>
  <si>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</si>
  <si>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</si>
  <si>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</si>
  <si>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</si>
  <si>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</si>
  <si>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</si>
  <si>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</si>
  <si>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</si>
  <si>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</si>
  <si>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</si>
  <si>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</si>
  <si>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</si>
  <si>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</si>
  <si>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</si>
  <si>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</si>
  <si>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</si>
  <si>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</si>
  <si>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</si>
  <si>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</si>
  <si>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</si>
  <si>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</si>
  <si>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</si>
  <si>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</si>
  <si>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</si>
  <si>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</si>
  <si>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</si>
  <si>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</si>
  <si>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</si>
  <si>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</si>
  <si>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</si>
  <si>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</si>
  <si>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</si>
  <si>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</si>
  <si>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</si>
  <si>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</si>
  <si>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</si>
  <si>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</si>
  <si>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</si>
  <si>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</si>
  <si>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</si>
  <si>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</si>
  <si>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</si>
  <si>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</si>
  <si>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</si>
  <si>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</si>
  <si>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</si>
  <si>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</si>
  <si>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</si>
  <si>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</si>
  <si>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</si>
  <si>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</si>
  <si>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</si>
  <si>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</si>
  <si>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</si>
  <si>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</si>
  <si>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</si>
  <si>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</si>
  <si>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</si>
  <si>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</si>
  <si>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</si>
  <si>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</si>
  <si>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</si>
  <si>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</si>
  <si>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</si>
  <si>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</si>
  <si>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</si>
  <si>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</si>
  <si>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</si>
  <si>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</si>
  <si>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</si>
  <si>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</si>
  <si>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</si>
  <si>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</si>
  <si>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</si>
  <si>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</si>
  <si>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</si>
  <si>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</si>
  <si>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</si>
  <si>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</si>
  <si>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</si>
  <si>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</si>
  <si>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</si>
  <si>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</si>
  <si>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</si>
  <si>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</si>
  <si>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</si>
  <si>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</si>
  <si>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</si>
  <si>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</si>
  <si>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</si>
  <si>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</si>
  <si>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</si>
  <si>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</si>
  <si>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</si>
  <si>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</si>
  <si>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</si>
  <si>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</si>
  <si>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</si>
  <si>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</si>
  <si>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</si>
  <si>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</si>
  <si>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</si>
  <si>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</si>
  <si>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</si>
  <si>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</si>
  <si>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</si>
  <si>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</si>
  <si>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</si>
  <si>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</si>
  <si>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</si>
  <si>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</si>
  <si>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</si>
  <si>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</si>
  <si>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</si>
  <si>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</si>
  <si>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</si>
  <si>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</si>
  <si>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</si>
  <si>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</si>
  <si>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</si>
  <si>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</si>
  <si>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</si>
  <si>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</si>
  <si>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</si>
  <si>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</si>
  <si>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</si>
  <si>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</si>
  <si>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</si>
  <si>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</si>
  <si>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</si>
  <si>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</si>
  <si>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</si>
  <si>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</si>
  <si>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</si>
  <si>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</si>
  <si>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</si>
  <si>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</si>
  <si>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</si>
  <si>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</si>
  <si>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</si>
  <si>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</si>
  <si>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</si>
  <si>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</si>
  <si>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</si>
  <si>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</si>
  <si>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</si>
  <si>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</si>
  <si>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</si>
  <si>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</si>
  <si>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</si>
  <si>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</si>
  <si>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</si>
  <si>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</si>
  <si>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</si>
  <si>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</si>
  <si>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</si>
  <si>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</si>
  <si>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</si>
  <si>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</si>
  <si>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</si>
  <si>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</si>
  <si>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</si>
  <si>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</si>
  <si>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</si>
  <si>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</si>
  <si>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</si>
  <si>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</si>
  <si>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</si>
  <si>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</si>
  <si>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</si>
  <si>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</si>
  <si>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</si>
  <si>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</si>
  <si>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</si>
  <si>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</si>
  <si>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</si>
  <si>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</si>
  <si>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</si>
  <si>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</si>
  <si>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</si>
  <si>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</si>
  <si>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</si>
  <si>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</si>
  <si>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</si>
  <si>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</si>
  <si>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</si>
  <si>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</si>
  <si>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</si>
  <si>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</si>
  <si>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</si>
  <si>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</si>
  <si>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</si>
  <si>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</si>
  <si>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</si>
  <si>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</si>
  <si>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</si>
  <si>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</si>
  <si>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</si>
  <si>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</si>
  <si>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</si>
  <si>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</si>
  <si>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</si>
  <si>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</si>
  <si>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</si>
  <si>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</si>
  <si>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</si>
  <si>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</si>
  <si>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</si>
  <si>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</si>
  <si>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</si>
  <si>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</si>
  <si>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</si>
  <si>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</si>
  <si>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</si>
  <si>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</si>
  <si>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</si>
  <si>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</si>
  <si>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</si>
  <si>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</si>
  <si>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</si>
  <si>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</si>
  <si>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</si>
  <si>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</si>
  <si>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</si>
  <si>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</si>
  <si>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</si>
  <si>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</si>
  <si>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</si>
  <si>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</si>
  <si>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</si>
  <si>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</si>
  <si>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</si>
  <si>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</si>
  <si>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</si>
  <si>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</si>
  <si>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</si>
  <si>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</si>
  <si>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</si>
  <si>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</si>
  <si>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</si>
  <si>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</si>
  <si>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</si>
  <si>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</si>
  <si>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</si>
  <si>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</si>
  <si>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</si>
  <si>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</si>
  <si>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</si>
  <si>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</si>
  <si>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</si>
  <si>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</si>
  <si>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</si>
  <si>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</si>
  <si>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</si>
  <si>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</si>
  <si>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</si>
  <si>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</si>
  <si>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</si>
  <si>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</si>
  <si>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</si>
  <si>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</si>
  <si>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</si>
  <si>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</si>
  <si>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</si>
  <si>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</si>
  <si>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</si>
  <si>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</si>
  <si>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</si>
  <si>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</si>
  <si>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</si>
  <si>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</si>
  <si>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</si>
  <si>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</si>
  <si>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</si>
  <si>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</si>
  <si>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</si>
  <si>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</si>
  <si>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</si>
  <si>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</si>
  <si>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</si>
  <si>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</si>
  <si>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</si>
  <si>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</si>
  <si>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</si>
  <si>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</si>
  <si>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</si>
  <si>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</si>
  <si>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</si>
  <si>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</si>
  <si>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</si>
  <si>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</si>
  <si>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</si>
  <si>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</si>
  <si>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</si>
  <si>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</si>
  <si>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</si>
  <si>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</si>
  <si>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</si>
  <si>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</si>
  <si>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</si>
  <si>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</si>
  <si>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</si>
  <si>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</si>
  <si>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</si>
  <si>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</si>
  <si>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</si>
  <si>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</si>
  <si>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</si>
  <si>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</si>
  <si>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</si>
  <si>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</si>
  <si>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</si>
  <si>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</si>
  <si>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</si>
  <si>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</si>
  <si>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</si>
  <si>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</si>
  <si>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</si>
  <si>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</si>
  <si>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</si>
  <si>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</si>
  <si>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</si>
  <si>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</si>
  <si>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</si>
  <si>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</si>
  <si>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</si>
  <si>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</si>
  <si>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</si>
  <si>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</si>
  <si>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</si>
  <si>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</si>
  <si>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</si>
  <si>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</si>
  <si>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</si>
  <si>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</si>
  <si>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</si>
  <si>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</si>
  <si>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</si>
  <si>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</si>
  <si>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</si>
  <si>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</si>
  <si>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</si>
  <si>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</si>
  <si>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</si>
  <si>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</si>
  <si>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</si>
  <si>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</si>
  <si>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</si>
  <si>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</si>
  <si>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</si>
  <si>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</si>
  <si>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</si>
  <si>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</si>
  <si>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</si>
  <si>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</si>
  <si>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</si>
  <si>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</si>
  <si>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</si>
  <si>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</si>
  <si>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</si>
  <si>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</si>
  <si>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</si>
  <si>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</si>
  <si>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</si>
  <si>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</si>
  <si>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</si>
  <si>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</si>
  <si>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</si>
  <si>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</si>
  <si>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</si>
  <si>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</si>
  <si>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</si>
  <si>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</si>
  <si>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</si>
  <si>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</si>
  <si>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</si>
  <si>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</si>
  <si>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</si>
  <si>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</si>
  <si>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</si>
  <si>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</si>
  <si>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</si>
  <si>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</si>
  <si>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</si>
  <si>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</si>
  <si>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</si>
  <si>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</si>
  <si>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</si>
  <si>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</si>
  <si>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</si>
  <si>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</si>
  <si>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</si>
  <si>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</si>
  <si>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</si>
  <si>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</si>
  <si>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</si>
  <si>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</si>
  <si>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</si>
  <si>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</si>
  <si>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</si>
  <si>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</si>
  <si>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</si>
  <si>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</si>
  <si>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</si>
  <si>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</si>
  <si>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</si>
  <si>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</si>
  <si>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</si>
  <si>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</si>
  <si>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</si>
  <si>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</si>
  <si>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</si>
  <si>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</si>
  <si>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</si>
  <si>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</si>
  <si>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</si>
  <si>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</si>
  <si>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</si>
  <si>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</si>
  <si>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</si>
  <si>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</si>
  <si>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</si>
  <si>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</si>
  <si>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</si>
  <si>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</si>
  <si>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</si>
  <si>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</si>
  <si>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</si>
  <si>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</si>
  <si>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</si>
  <si>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</si>
  <si>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</si>
  <si>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</si>
  <si>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</si>
  <si>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</si>
  <si>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</si>
  <si>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</si>
  <si>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</si>
  <si>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</si>
  <si>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</si>
  <si>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</si>
  <si>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</si>
  <si>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</si>
  <si>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</si>
  <si>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</si>
  <si>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</si>
  <si>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</si>
  <si>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</si>
  <si>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</si>
  <si>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</si>
  <si>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</si>
  <si>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</si>
  <si>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</si>
  <si>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</si>
  <si>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</si>
  <si>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</si>
  <si>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</si>
  <si>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</si>
  <si>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</si>
  <si>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</si>
  <si>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</si>
  <si>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</si>
  <si>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</si>
  <si>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</si>
  <si>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</si>
  <si>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</si>
  <si>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</si>
  <si>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</si>
  <si>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</si>
  <si>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</si>
  <si>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</si>
  <si>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</si>
  <si>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</si>
  <si>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</si>
  <si>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</si>
  <si>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</si>
  <si>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</si>
  <si>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</si>
  <si>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</si>
  <si>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</si>
  <si>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</si>
  <si>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</si>
  <si>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</si>
  <si>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</si>
  <si>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</si>
  <si>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</si>
  <si>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</si>
  <si>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</si>
  <si>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</si>
  <si>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</si>
  <si>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</si>
  <si>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</si>
  <si>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</si>
  <si>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</si>
  <si>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</si>
  <si>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</si>
  <si>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</si>
  <si>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</si>
  <si>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</si>
  <si>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</si>
  <si>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</si>
  <si>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</si>
  <si>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</si>
  <si>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</si>
  <si>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</si>
  <si>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</si>
  <si>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</si>
  <si>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</si>
  <si>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</si>
  <si>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</si>
  <si>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</si>
  <si>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</si>
  <si>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</si>
  <si>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</si>
  <si>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</si>
  <si>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</si>
  <si>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</si>
  <si>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</si>
  <si>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</si>
  <si>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</si>
  <si>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</si>
  <si>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</si>
  <si>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</si>
  <si>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</si>
  <si>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</si>
  <si>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</si>
  <si>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</si>
  <si>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</si>
  <si>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</si>
  <si>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</si>
  <si>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</si>
  <si>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</si>
  <si>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</si>
  <si>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</si>
  <si>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</si>
  <si>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</si>
  <si>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</si>
  <si>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</si>
  <si>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</si>
  <si>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</si>
  <si>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</si>
  <si>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</si>
  <si>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</si>
  <si>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</si>
  <si>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</si>
  <si>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</si>
  <si>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</si>
  <si>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</si>
  <si>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</si>
  <si>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</si>
  <si>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</si>
  <si>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</si>
  <si>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</si>
  <si>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</si>
  <si>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</si>
  <si>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</si>
  <si>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</si>
  <si>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</si>
  <si>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</si>
  <si>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</si>
  <si>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</si>
  <si>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</si>
  <si>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</si>
  <si>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</si>
  <si>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</si>
  <si>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</si>
  <si>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</si>
  <si>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</si>
  <si>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</si>
  <si>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</si>
  <si>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</si>
  <si>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</si>
  <si>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</si>
  <si>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</si>
  <si>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</si>
  <si>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</si>
  <si>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</si>
  <si>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</si>
  <si>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</si>
  <si>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</si>
  <si>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</si>
  <si>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</si>
  <si>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</si>
  <si>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</si>
  <si>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</si>
  <si>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</si>
  <si>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</si>
  <si>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</si>
  <si>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</si>
  <si>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</si>
  <si>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</si>
  <si>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</si>
  <si>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</si>
  <si>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</si>
  <si>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</si>
  <si>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</si>
  <si>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</si>
  <si>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</si>
  <si>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</si>
  <si>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</si>
  <si>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</si>
  <si>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</si>
  <si>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</si>
  <si>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</si>
  <si>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</si>
  <si>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</si>
  <si>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</si>
  <si>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</si>
  <si>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</si>
  <si>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</si>
  <si>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</si>
  <si>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</si>
  <si>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</si>
  <si>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</si>
  <si>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</si>
  <si>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</si>
  <si>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</si>
  <si>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</si>
  <si>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</si>
  <si>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</si>
  <si>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</si>
  <si>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</si>
  <si>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</si>
  <si>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</si>
  <si>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</si>
  <si>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</si>
  <si>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</si>
  <si>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</si>
  <si>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</si>
  <si>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</si>
  <si>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</si>
  <si>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</si>
  <si>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</si>
  <si>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</si>
  <si>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</si>
  <si>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</si>
  <si>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</si>
  <si>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</si>
  <si>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</si>
  <si>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</si>
  <si>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</si>
  <si>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</si>
  <si>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</si>
  <si>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</si>
  <si>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</si>
  <si>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</si>
  <si>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</si>
  <si>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</si>
  <si>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</si>
  <si>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</si>
  <si>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</si>
  <si>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</si>
  <si>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</si>
  <si>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</si>
  <si>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</si>
  <si>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</si>
  <si>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</si>
  <si>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</si>
  <si>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</si>
  <si>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</si>
  <si>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</si>
  <si>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</si>
  <si>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</si>
  <si>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</si>
  <si>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</si>
  <si>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</si>
  <si>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</si>
  <si>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</si>
  <si>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</si>
  <si>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</si>
  <si>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</si>
  <si>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</si>
  <si>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</si>
  <si>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</si>
  <si>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</si>
  <si>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</si>
  <si>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</si>
  <si>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</si>
  <si>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</si>
  <si>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</si>
  <si>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</si>
  <si>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</si>
  <si>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</si>
  <si>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</si>
  <si>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</si>
  <si>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</si>
  <si>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</si>
  <si>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</si>
  <si>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</si>
  <si>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</si>
  <si>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</si>
  <si>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</si>
  <si>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</si>
  <si>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</si>
  <si>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</si>
  <si>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</si>
  <si>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</si>
  <si>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</si>
  <si>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</si>
  <si>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</si>
  <si>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</si>
  <si>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</si>
  <si>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</si>
  <si>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</si>
  <si>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</si>
  <si>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</si>
  <si>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</si>
  <si>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</si>
  <si>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</si>
  <si>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</si>
  <si>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</si>
  <si>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</si>
  <si>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</si>
  <si>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</si>
  <si>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</si>
  <si>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</si>
  <si>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</si>
  <si>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</si>
  <si>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</si>
  <si>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</si>
  <si>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</si>
  <si>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</si>
  <si>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</si>
  <si>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</si>
  <si>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</si>
  <si>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</si>
  <si>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</si>
  <si>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</si>
  <si>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</si>
  <si>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</si>
  <si>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</si>
  <si>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</si>
  <si>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</si>
  <si>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</si>
  <si>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</si>
  <si>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</si>
  <si>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</si>
  <si>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</si>
  <si>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</si>
  <si>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</si>
  <si>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</si>
  <si>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</si>
  <si>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</si>
  <si>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</si>
  <si>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</si>
  <si>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</si>
  <si>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</si>
  <si>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</si>
  <si>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</si>
  <si>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</si>
  <si>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</si>
  <si>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</si>
  <si>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</si>
  <si>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</si>
  <si>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</si>
  <si>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</si>
  <si>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</si>
  <si>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</si>
  <si>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</si>
  <si>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</si>
  <si>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</si>
  <si>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</si>
  <si>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</si>
  <si>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</si>
  <si>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</si>
  <si>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</si>
  <si>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</si>
  <si>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</si>
  <si>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</si>
  <si>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</si>
  <si>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</si>
  <si>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</si>
  <si>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</si>
  <si>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</si>
  <si>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</si>
  <si>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</si>
  <si>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</si>
  <si>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</si>
  <si>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</si>
  <si>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</si>
  <si>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</si>
  <si>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</si>
  <si>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</si>
  <si>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</si>
  <si>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</si>
  <si>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</si>
  <si>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</si>
  <si>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</si>
  <si>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</si>
  <si>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</si>
  <si>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</si>
  <si>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</si>
  <si>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</si>
  <si>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</si>
  <si>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</si>
  <si>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</si>
  <si>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</si>
  <si>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</si>
  <si>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</si>
  <si>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</si>
  <si>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</si>
  <si>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</si>
  <si>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</si>
  <si>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</si>
  <si>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</si>
  <si>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</si>
  <si>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</si>
  <si>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</si>
  <si>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</si>
  <si>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</si>
  <si>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</si>
  <si>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</si>
  <si>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</si>
  <si>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</si>
  <si>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</si>
  <si>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</si>
  <si>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</si>
  <si>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</si>
  <si>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</si>
  <si>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</si>
  <si>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</si>
  <si>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</si>
  <si>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</si>
  <si>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</si>
  <si>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</si>
  <si>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</si>
  <si>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</si>
  <si>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</si>
  <si>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</si>
  <si>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</si>
  <si>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</si>
  <si>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</si>
  <si>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</si>
  <si>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</si>
  <si>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</si>
  <si>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</si>
  <si>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</si>
  <si>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</si>
  <si>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</si>
  <si>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</si>
  <si>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</si>
  <si>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</si>
  <si>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</si>
  <si>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</si>
  <si>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</si>
  <si>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</si>
  <si>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</si>
  <si>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</si>
  <si>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</si>
  <si>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</si>
  <si>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</si>
  <si>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</si>
  <si>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</si>
  <si>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</si>
  <si>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</si>
  <si>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</si>
  <si>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</si>
  <si>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</si>
  <si>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</si>
  <si>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</si>
  <si>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</si>
  <si>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</si>
  <si>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</si>
  <si>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</si>
  <si>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</si>
  <si>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</si>
  <si>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</si>
  <si>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</si>
  <si>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</si>
  <si>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</si>
  <si>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</si>
  <si>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</si>
  <si>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</si>
  <si>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</si>
  <si>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</si>
  <si>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</si>
  <si>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</si>
  <si>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</si>
  <si>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</si>
  <si>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</si>
  <si>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</si>
  <si>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</si>
  <si>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</si>
  <si>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</si>
  <si>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</si>
  <si>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</si>
  <si>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</si>
  <si>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</si>
  <si>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</si>
  <si>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</si>
  <si>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</si>
  <si>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</si>
  <si>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</si>
  <si>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</si>
  <si>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</si>
  <si>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</si>
  <si>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</si>
  <si>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</si>
  <si>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</si>
  <si>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</si>
  <si>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</si>
  <si>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</si>
  <si>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</si>
  <si>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</si>
  <si>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</si>
  <si>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</si>
  <si>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</si>
  <si>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</si>
  <si>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</si>
  <si>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</si>
  <si>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</si>
  <si>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</si>
  <si>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</si>
  <si>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</si>
  <si>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</si>
  <si>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</si>
  <si>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</si>
  <si>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</si>
  <si>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</si>
  <si>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</si>
  <si>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</si>
  <si>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</si>
  <si>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</si>
  <si>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</si>
  <si>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</si>
  <si>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</si>
  <si>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</si>
  <si>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</si>
  <si>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</si>
  <si>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</si>
  <si>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</si>
  <si>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</si>
  <si>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</si>
  <si>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</si>
  <si>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</si>
  <si>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</si>
  <si>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</si>
  <si>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</si>
  <si>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</si>
  <si>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</si>
  <si>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</si>
  <si>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</si>
  <si>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</si>
  <si>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</si>
  <si>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</si>
  <si>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</si>
  <si>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</si>
  <si>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</si>
  <si>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</si>
  <si>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</si>
  <si>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</si>
  <si>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</si>
  <si>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</si>
  <si>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</si>
  <si>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</si>
  <si>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</si>
  <si>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</si>
  <si>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</si>
  <si>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</si>
  <si>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</si>
  <si>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</si>
  <si>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</si>
  <si>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</si>
  <si>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</si>
  <si>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</si>
  <si>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</si>
  <si>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</si>
  <si>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</si>
  <si>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</si>
  <si>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</si>
  <si>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</si>
  <si>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</si>
  <si>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</si>
  <si>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</si>
  <si>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</si>
  <si>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</si>
  <si>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</si>
  <si>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</si>
  <si>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</si>
  <si>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</si>
  <si>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</si>
  <si>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</si>
  <si>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</si>
  <si>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</si>
  <si>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</si>
  <si>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</si>
  <si>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</si>
  <si>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</si>
  <si>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</si>
  <si>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</si>
  <si>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</si>
  <si>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</si>
  <si>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</si>
  <si>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</si>
  <si>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</si>
  <si>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</si>
  <si>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</si>
  <si>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</si>
  <si>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</si>
  <si>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</si>
  <si>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</si>
  <si>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</si>
  <si>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</si>
  <si>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</si>
  <si>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</si>
  <si>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</si>
  <si>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</si>
  <si>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</si>
  <si>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</si>
  <si>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</si>
  <si>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</si>
  <si>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</si>
  <si>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</si>
  <si>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</si>
  <si>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</si>
  <si>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</si>
  <si>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</si>
  <si>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</si>
  <si>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</si>
  <si>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</si>
  <si>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</si>
  <si>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</si>
  <si>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</si>
  <si>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</si>
  <si>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</si>
  <si>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</si>
  <si>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</si>
  <si>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</si>
  <si>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</si>
  <si>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</si>
  <si>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</si>
  <si>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</si>
  <si>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</si>
  <si>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</si>
  <si>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</si>
  <si>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</si>
  <si>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</si>
  <si>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</si>
  <si>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</si>
  <si>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</si>
  <si>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</si>
  <si>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</si>
  <si>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</si>
  <si>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</si>
  <si>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</si>
  <si>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</si>
  <si>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</si>
  <si>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</si>
  <si>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</si>
  <si>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</si>
  <si>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</si>
  <si>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</si>
  <si>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</si>
  <si>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</si>
  <si>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</si>
  <si>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</si>
  <si>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</si>
  <si>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</si>
  <si>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</si>
  <si>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</si>
  <si>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</si>
  <si>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</si>
  <si>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</si>
  <si>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</si>
  <si>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</si>
  <si>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</si>
  <si>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</si>
  <si>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</si>
  <si>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</si>
  <si>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</si>
  <si>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</si>
  <si>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</si>
  <si>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</si>
  <si>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</si>
  <si>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</si>
  <si>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</si>
  <si>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</si>
  <si>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</si>
  <si>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</si>
  <si>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</si>
  <si>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</si>
  <si>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</si>
  <si>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</si>
  <si>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</si>
  <si>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</si>
  <si>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</si>
  <si>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</si>
  <si>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</si>
  <si>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</si>
  <si>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</si>
  <si>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</si>
  <si>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</si>
  <si>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</si>
  <si>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</si>
  <si>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</si>
  <si>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</si>
  <si>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</si>
  <si>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</si>
  <si>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</si>
  <si>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</si>
  <si>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</si>
  <si>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</si>
  <si>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</si>
  <si>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</si>
  <si>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</si>
  <si>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</si>
  <si>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</si>
  <si>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</si>
  <si>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</si>
  <si>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</si>
  <si>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</si>
  <si>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</si>
  <si>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</si>
  <si>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</si>
  <si>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</si>
  <si>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</si>
  <si>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</si>
  <si>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</si>
  <si>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</si>
  <si>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</si>
  <si>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</si>
  <si>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</si>
  <si>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</si>
  <si>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</si>
  <si>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</si>
  <si>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</si>
  <si>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</si>
  <si>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</si>
  <si>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</si>
  <si>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</si>
  <si>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</si>
  <si>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</si>
  <si>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</si>
  <si>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</si>
  <si>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</si>
  <si>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</si>
  <si>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</si>
  <si>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</si>
  <si>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</si>
  <si>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</si>
  <si>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</si>
  <si>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</si>
  <si>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</si>
  <si>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</si>
  <si>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</si>
  <si>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</si>
  <si>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</si>
  <si>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</si>
  <si>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</si>
  <si>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</si>
  <si>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</si>
  <si>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</si>
  <si>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</si>
  <si>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</si>
  <si>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</si>
  <si>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</si>
  <si>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</si>
  <si>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</si>
  <si>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</si>
  <si>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</si>
  <si>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</si>
  <si>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</si>
  <si>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</si>
  <si>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</si>
  <si>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</si>
  <si>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</si>
  <si>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</si>
  <si>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</si>
  <si>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</si>
  <si>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</si>
  <si>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</si>
  <si>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</si>
  <si>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</si>
  <si>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</si>
  <si>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</si>
  <si>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</si>
  <si>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</si>
  <si>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</si>
  <si>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</si>
  <si>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</si>
  <si>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</si>
  <si>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</si>
  <si>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</si>
  <si>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</si>
  <si>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</si>
  <si>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</si>
  <si>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</si>
  <si>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</si>
  <si>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</si>
  <si>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</si>
  <si>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</si>
  <si>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</si>
  <si>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</si>
  <si>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</si>
  <si>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</si>
  <si>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</si>
  <si>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</si>
  <si>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</si>
  <si>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</si>
  <si>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</si>
  <si>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</si>
  <si>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</si>
  <si>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</si>
  <si>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</si>
  <si>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</si>
  <si>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</si>
  <si>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</si>
  <si>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</si>
  <si>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</si>
  <si>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</si>
  <si>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</si>
  <si>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</si>
  <si>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</si>
  <si>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</si>
  <si>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</si>
  <si>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</si>
  <si>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</si>
  <si>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</si>
  <si>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</si>
  <si>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</si>
  <si>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</si>
  <si>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</si>
  <si>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</si>
  <si>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</si>
  <si>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</si>
  <si>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</si>
  <si>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</si>
  <si>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</si>
  <si>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</si>
  <si>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</si>
  <si>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</si>
  <si>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</si>
  <si>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</si>
  <si>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</si>
  <si>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</si>
  <si>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</si>
  <si>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</si>
  <si>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</si>
  <si>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</si>
  <si>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</si>
  <si>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</si>
  <si>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</si>
  <si>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</si>
  <si>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</si>
  <si>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</si>
  <si>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</si>
  <si>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</si>
  <si>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</si>
  <si>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</si>
  <si>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</si>
  <si>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</si>
  <si>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</si>
  <si>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</si>
  <si>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</si>
  <si>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</si>
  <si>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</si>
  <si>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</si>
  <si>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</si>
  <si>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</si>
  <si>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</si>
  <si>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</si>
  <si>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</si>
  <si>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</si>
  <si>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</si>
  <si>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</si>
  <si>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</si>
  <si>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</si>
  <si>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</si>
  <si>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</si>
  <si>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</si>
  <si>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</si>
  <si>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</si>
  <si>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</si>
  <si>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</si>
  <si>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</si>
  <si>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</si>
  <si>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</si>
  <si>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</si>
  <si>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</si>
  <si>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</si>
  <si>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</si>
  <si>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</si>
  <si>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</si>
  <si>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</si>
  <si>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</si>
  <si>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</si>
  <si>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</si>
  <si>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</si>
  <si>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</si>
  <si>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</si>
  <si>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</si>
  <si>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</si>
  <si>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</si>
  <si>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</si>
  <si>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</si>
  <si>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</si>
  <si>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</si>
  <si>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</si>
  <si>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</si>
  <si>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</si>
  <si>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</si>
  <si>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</si>
  <si>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</si>
  <si>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</si>
  <si>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</si>
  <si>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</si>
  <si>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</si>
  <si>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</si>
  <si>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</si>
  <si>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</si>
  <si>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</si>
  <si>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</si>
  <si>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</si>
  <si>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</si>
  <si>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</si>
  <si>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</si>
  <si>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</si>
  <si>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</si>
  <si>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</si>
  <si>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</si>
  <si>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</si>
  <si>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</si>
  <si>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</si>
  <si>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</si>
  <si>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</si>
  <si>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</si>
  <si>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</si>
  <si>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</si>
  <si>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</si>
  <si>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</si>
  <si>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</si>
  <si>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</si>
  <si>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</si>
  <si>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</si>
  <si>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</si>
  <si>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</si>
  <si>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</si>
  <si>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</si>
  <si>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</si>
  <si>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</si>
  <si>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</si>
  <si>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</si>
  <si>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</si>
  <si>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</si>
  <si>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</si>
  <si>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</si>
  <si>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</si>
  <si>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</si>
  <si>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</si>
  <si>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</si>
  <si>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</si>
  <si>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</si>
  <si>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</si>
  <si>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</si>
  <si>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</si>
  <si>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</si>
  <si>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</si>
  <si>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</si>
  <si>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</si>
  <si>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</si>
  <si>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</si>
  <si>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</si>
  <si>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</si>
  <si>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</si>
  <si>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</si>
  <si>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</si>
  <si>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</si>
  <si>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</si>
  <si>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</si>
  <si>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</si>
  <si>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</si>
  <si>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</si>
  <si>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</si>
  <si>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</si>
  <si>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</si>
  <si>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</si>
  <si>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</si>
  <si>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</si>
  <si>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</si>
  <si>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</si>
  <si>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</si>
  <si>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</si>
  <si>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</si>
  <si>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</si>
  <si>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</si>
  <si>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</si>
  <si>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</si>
  <si>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</si>
  <si>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</si>
  <si>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</si>
  <si>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</si>
  <si>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</si>
  <si>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</si>
  <si>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</si>
  <si>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</si>
  <si>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</si>
  <si>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</si>
  <si>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</si>
  <si>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</si>
  <si>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</si>
  <si>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</si>
  <si>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</si>
  <si>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</si>
  <si>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</si>
  <si>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</si>
  <si>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</si>
  <si>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</si>
  <si>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</si>
  <si>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</si>
  <si>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</si>
  <si>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</si>
  <si>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</si>
  <si>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</si>
  <si>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</si>
  <si>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</si>
  <si>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</si>
  <si>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</si>
  <si>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</si>
  <si>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</si>
  <si>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</si>
  <si>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</si>
  <si>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</si>
  <si>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</si>
  <si>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</si>
  <si>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</si>
  <si>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</si>
  <si>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</si>
  <si>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</si>
  <si>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</si>
  <si>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</si>
  <si>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</si>
  <si>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</si>
  <si>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</si>
  <si>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</si>
  <si>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</si>
  <si>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</si>
  <si>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</si>
  <si>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</si>
  <si>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</si>
  <si>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</si>
  <si>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</si>
  <si>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</si>
  <si>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</si>
  <si>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</si>
  <si>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</si>
  <si>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</si>
  <si>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</si>
  <si>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</si>
  <si>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</si>
  <si>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</si>
  <si>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</si>
  <si>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</si>
  <si>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</si>
  <si>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</si>
  <si>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</si>
  <si>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</si>
  <si>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</si>
  <si>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</si>
  <si>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</si>
  <si>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</si>
  <si>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</si>
  <si>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</si>
  <si>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</si>
  <si>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</si>
  <si>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</si>
  <si>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</si>
  <si>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</si>
  <si>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</si>
  <si>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</si>
  <si>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</si>
  <si>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</si>
  <si>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</si>
  <si>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</si>
  <si>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</si>
  <si>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</si>
  <si>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</si>
  <si>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</si>
  <si>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</si>
  <si>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</si>
  <si>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</si>
  <si>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</si>
  <si>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</si>
  <si>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</si>
  <si>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</si>
  <si>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</si>
  <si>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</si>
  <si>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</si>
  <si>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</si>
  <si>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</si>
  <si>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</si>
  <si>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</si>
  <si>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</si>
  <si>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</si>
  <si>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</si>
  <si>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</si>
  <si>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</si>
  <si>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</si>
  <si>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</si>
  <si>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</si>
  <si>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</si>
  <si>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</si>
  <si>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</si>
  <si>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</si>
  <si>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</si>
  <si>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</si>
  <si>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</si>
  <si>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</si>
  <si>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</si>
  <si>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</si>
  <si>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</si>
  <si>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</si>
  <si>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</si>
  <si>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</si>
  <si>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</si>
  <si>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</si>
  <si>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</si>
  <si>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</si>
  <si>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</si>
  <si>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</si>
  <si>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</si>
  <si>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</si>
  <si>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</si>
  <si>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</si>
  <si>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</si>
  <si>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</si>
  <si>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</si>
  <si>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</si>
  <si>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</si>
  <si>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</si>
  <si>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</si>
  <si>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</si>
  <si>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</si>
  <si>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</si>
  <si>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</si>
  <si>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</si>
  <si>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</si>
  <si>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</si>
  <si>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</si>
  <si>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</si>
  <si>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</si>
  <si>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</si>
  <si>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</si>
  <si>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</si>
  <si>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</si>
  <si>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</si>
  <si>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</si>
  <si>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</si>
  <si>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</si>
  <si>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</si>
  <si>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</si>
  <si>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</si>
  <si>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</si>
  <si>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</si>
  <si>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</si>
  <si>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</si>
  <si>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</si>
  <si>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</si>
  <si>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</si>
  <si>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</si>
  <si>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</si>
  <si>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</si>
  <si>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</si>
  <si>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</si>
  <si>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</si>
  <si>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</si>
  <si>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</si>
  <si>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</si>
  <si>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</si>
  <si>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</si>
  <si>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</si>
  <si>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</si>
  <si>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</si>
  <si>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</si>
  <si>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</si>
  <si>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</si>
  <si>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</si>
  <si>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</si>
  <si>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</si>
  <si>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</si>
  <si>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</si>
  <si>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</si>
  <si>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</si>
  <si>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</si>
  <si>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</si>
  <si>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</si>
  <si>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</si>
  <si>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</si>
  <si>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</si>
  <si>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</si>
  <si>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</si>
  <si>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</si>
  <si>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</si>
  <si>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</si>
  <si>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</si>
  <si>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</si>
  <si>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</si>
  <si>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</si>
  <si>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</si>
  <si>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</si>
  <si>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</si>
  <si>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</si>
  <si>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</si>
  <si>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</si>
  <si>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</si>
  <si>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</si>
  <si>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</si>
  <si>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</si>
  <si>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</si>
  <si>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</si>
  <si>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</si>
  <si>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</si>
  <si>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</si>
  <si>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</si>
  <si>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</si>
  <si>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</si>
  <si>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</si>
  <si>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</si>
  <si>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</si>
  <si>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</si>
  <si>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</si>
  <si>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</si>
  <si>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</si>
  <si>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</si>
  <si>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</si>
  <si>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</si>
  <si>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</si>
  <si>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</si>
  <si>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</si>
  <si>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</si>
  <si>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</si>
  <si>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</si>
  <si>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</si>
  <si>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</si>
  <si>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</si>
  <si>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</si>
  <si>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</si>
  <si>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</si>
  <si>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</si>
  <si>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</si>
  <si>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</si>
  <si>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</si>
  <si>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</si>
  <si>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</si>
  <si>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</si>
  <si>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</si>
  <si>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</si>
  <si>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</si>
  <si>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</si>
  <si>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</si>
  <si>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</si>
  <si>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</si>
  <si>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</si>
  <si>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</si>
  <si>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</si>
  <si>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</si>
  <si>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</si>
  <si>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</si>
  <si>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</si>
  <si>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</si>
  <si>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</si>
  <si>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</si>
  <si>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</si>
  <si>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</si>
  <si>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</si>
  <si>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</si>
  <si>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</si>
  <si>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</si>
  <si>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</si>
  <si>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</si>
  <si>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</si>
  <si>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</si>
  <si>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</si>
  <si>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</si>
  <si>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</si>
  <si>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</si>
  <si>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</si>
  <si>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</si>
  <si>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</si>
  <si>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</si>
  <si>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</si>
  <si>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</si>
  <si>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</si>
  <si>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</si>
  <si>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</si>
  <si>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</si>
  <si>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</si>
  <si>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</si>
  <si>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</si>
  <si>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</si>
  <si>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</si>
  <si>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</si>
  <si>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</si>
  <si>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</si>
  <si>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</si>
  <si>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</si>
  <si>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</si>
  <si>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</si>
  <si>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</si>
  <si>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</si>
  <si>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</si>
  <si>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</si>
  <si>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</si>
  <si>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</si>
  <si>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</si>
  <si>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</si>
  <si>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</si>
  <si>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</si>
  <si>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</si>
  <si>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</si>
  <si>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</si>
  <si>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</si>
  <si>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</si>
  <si>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</si>
  <si>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</si>
  <si>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</si>
  <si>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</si>
  <si>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</si>
  <si>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</si>
  <si>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</si>
  <si>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</si>
  <si>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</si>
  <si>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</si>
  <si>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</si>
  <si>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</si>
  <si>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</si>
  <si>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</si>
  <si>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</si>
  <si>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</si>
  <si>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</si>
  <si>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</si>
  <si>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</si>
  <si>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</si>
  <si>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</si>
  <si>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</si>
  <si>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</si>
  <si>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</si>
  <si>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</si>
  <si>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</si>
  <si>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</si>
  <si>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</si>
  <si>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</si>
  <si>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</si>
  <si>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</si>
  <si>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</si>
  <si>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</si>
  <si>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</si>
  <si>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</si>
  <si>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</si>
  <si>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</si>
  <si>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</si>
  <si>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</si>
  <si>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</si>
  <si>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</si>
  <si>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</si>
  <si>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</si>
  <si>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</si>
  <si>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</si>
  <si>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</si>
  <si>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</si>
  <si>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</si>
  <si>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</si>
  <si>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</si>
  <si>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</si>
  <si>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</si>
  <si>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</si>
  <si>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</si>
  <si>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</si>
  <si>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</si>
  <si>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</si>
  <si>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</si>
  <si>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</si>
  <si>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</si>
  <si>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</si>
  <si>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</si>
  <si>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</si>
  <si>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</si>
  <si>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</si>
  <si>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</si>
  <si>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</si>
  <si>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</si>
  <si>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</si>
  <si>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</si>
  <si>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</si>
  <si>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</si>
  <si>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</si>
  <si>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</si>
  <si>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</si>
  <si>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</si>
  <si>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</si>
  <si>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</si>
  <si>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</si>
  <si>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</si>
  <si>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</si>
  <si>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</si>
  <si>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</si>
  <si>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</si>
  <si>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</si>
  <si>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</si>
  <si>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</si>
  <si>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</si>
  <si>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</si>
  <si>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</si>
  <si>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</si>
  <si>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</si>
  <si>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</si>
  <si>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</si>
  <si>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</si>
  <si>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</si>
  <si>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</si>
  <si>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</si>
  <si>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</si>
  <si>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</si>
  <si>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</si>
  <si>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</si>
  <si>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</si>
  <si>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</si>
  <si>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</si>
  <si>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</si>
  <si>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</si>
  <si>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</si>
  <si>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</si>
  <si>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</si>
  <si>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</si>
  <si>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</si>
  <si>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</si>
  <si>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</si>
  <si>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</si>
  <si>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</si>
  <si>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</si>
  <si>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</si>
  <si>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</si>
  <si>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</si>
  <si>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</si>
  <si>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</si>
  <si>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</si>
  <si>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</si>
  <si>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</si>
  <si>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</si>
  <si>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</si>
  <si>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</si>
  <si>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</si>
  <si>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</si>
  <si>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</si>
  <si>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</si>
  <si>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</si>
  <si>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</si>
  <si>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</si>
  <si>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</si>
  <si>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</si>
  <si>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</si>
  <si>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</si>
  <si>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</si>
  <si>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</si>
  <si>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</si>
  <si>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</si>
  <si>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</si>
  <si>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</si>
  <si>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</si>
  <si>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</si>
  <si>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</si>
  <si>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</si>
  <si>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</si>
  <si>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</si>
  <si>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</si>
  <si>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</si>
  <si>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</si>
  <si>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</si>
  <si>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</si>
  <si>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</si>
  <si>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</si>
  <si>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</si>
  <si>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</si>
  <si>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</si>
  <si>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</si>
  <si>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</si>
  <si>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</si>
  <si>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</si>
  <si>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</si>
  <si>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</si>
  <si>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</si>
  <si>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</si>
  <si>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</si>
  <si>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</si>
  <si>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</si>
  <si>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</si>
  <si>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</si>
  <si>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</si>
  <si>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</si>
  <si>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</si>
  <si>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</si>
  <si>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</si>
  <si>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</si>
  <si>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</si>
  <si>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</si>
  <si>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</si>
  <si>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</si>
  <si>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</si>
  <si>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</si>
  <si>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</si>
  <si>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</si>
  <si>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</si>
  <si>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</si>
  <si>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</si>
  <si>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</si>
  <si>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</si>
  <si>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</si>
  <si>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</si>
  <si>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</si>
  <si>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</si>
  <si>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</si>
  <si>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</si>
  <si>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</si>
  <si>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</si>
  <si>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</si>
  <si>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</si>
  <si>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</si>
  <si>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</si>
  <si>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</si>
  <si>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</si>
  <si>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</si>
  <si>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</si>
  <si>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</si>
  <si>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</si>
  <si>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</si>
  <si>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</si>
  <si>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</si>
  <si>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</si>
  <si>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</si>
  <si>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</si>
  <si>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</si>
  <si>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</si>
  <si>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</si>
  <si>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</si>
  <si>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</si>
  <si>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</si>
  <si>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</si>
  <si>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</si>
  <si>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</si>
  <si>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</si>
  <si>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</si>
  <si>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</si>
  <si>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</si>
  <si>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</si>
  <si>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</si>
  <si>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</si>
  <si>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</si>
  <si>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</si>
  <si>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</si>
  <si>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</si>
  <si>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</si>
  <si>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</si>
  <si>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</si>
  <si>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</si>
  <si>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</si>
  <si>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</si>
  <si>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</si>
  <si>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</si>
  <si>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</si>
  <si>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</si>
  <si>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</si>
  <si>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</si>
  <si>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</si>
  <si>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</si>
  <si>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</si>
  <si>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</si>
  <si>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</si>
  <si>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</si>
  <si>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</si>
  <si>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</si>
  <si>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</si>
  <si>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</si>
  <si>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</si>
  <si>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</si>
  <si>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</si>
  <si>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</si>
  <si>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</si>
  <si>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</si>
  <si>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</si>
  <si>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</si>
  <si>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</si>
  <si>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</si>
  <si>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</si>
  <si>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</si>
  <si>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</si>
  <si>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</si>
  <si>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</si>
  <si>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</si>
  <si>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</si>
  <si>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</si>
  <si>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</si>
  <si>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</si>
  <si>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</si>
  <si>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</si>
  <si>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</si>
  <si>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</si>
  <si>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</si>
  <si>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</si>
  <si>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</si>
  <si>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</si>
  <si>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</si>
  <si>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</si>
  <si>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</si>
  <si>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</si>
  <si>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</si>
  <si>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</si>
  <si>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</si>
  <si>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</si>
  <si>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</si>
  <si>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</si>
  <si>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</si>
  <si>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</si>
  <si>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</si>
  <si>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</si>
  <si>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</si>
  <si>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</si>
  <si>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</si>
  <si>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</si>
  <si>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</si>
  <si>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</si>
  <si>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</si>
  <si>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</si>
  <si>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</si>
  <si>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</si>
  <si>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</si>
  <si>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</si>
  <si>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</si>
  <si>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</si>
  <si>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</si>
  <si>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</si>
  <si>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</si>
  <si>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</si>
  <si>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</si>
  <si>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</si>
  <si>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</si>
  <si>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</si>
  <si>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</si>
  <si>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</si>
  <si>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</si>
  <si>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</si>
  <si>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</si>
  <si>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</si>
  <si>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</si>
  <si>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</si>
  <si>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</si>
  <si>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</si>
  <si>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</si>
  <si>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</si>
  <si>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</si>
  <si>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</si>
  <si>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</si>
  <si>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</si>
  <si>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</si>
  <si>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</si>
  <si>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</si>
  <si>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</si>
  <si>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</si>
  <si>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</si>
  <si>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</si>
  <si>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</si>
  <si>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</si>
  <si>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</si>
  <si>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</si>
  <si>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</si>
  <si>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</si>
  <si>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</si>
  <si>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</si>
  <si>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</si>
  <si>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</si>
  <si>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</si>
  <si>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</si>
  <si>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</si>
  <si>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</si>
  <si>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</si>
  <si>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</si>
  <si>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</si>
  <si>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</si>
  <si>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</si>
  <si>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</si>
  <si>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</si>
  <si>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</si>
  <si>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</si>
  <si>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</si>
  <si>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</si>
  <si>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</si>
  <si>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</si>
  <si>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</si>
  <si>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</si>
  <si>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</si>
  <si>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</si>
  <si>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</si>
  <si>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</si>
  <si>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</si>
  <si>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</si>
  <si>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</si>
  <si>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</si>
  <si>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</si>
  <si>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</si>
  <si>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</si>
  <si>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</si>
  <si>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</si>
  <si>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</si>
  <si>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</si>
  <si>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</si>
  <si>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</si>
  <si>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</si>
  <si>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</si>
  <si>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</si>
  <si>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</si>
  <si>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</si>
  <si>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</si>
  <si>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</si>
  <si>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</si>
  <si>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</si>
  <si>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</si>
  <si>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</si>
  <si>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</si>
  <si>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</si>
  <si>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</si>
  <si>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</si>
  <si>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</si>
  <si>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</si>
  <si>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</si>
  <si>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</si>
  <si>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</si>
  <si>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</si>
  <si>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</si>
  <si>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</si>
  <si>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</si>
  <si>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</si>
  <si>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</si>
  <si>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</si>
  <si>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</si>
  <si>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</si>
  <si>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</si>
  <si>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</si>
  <si>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</si>
  <si>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</si>
  <si>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</si>
  <si>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</si>
  <si>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</si>
  <si>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</si>
  <si>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</si>
  <si>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</si>
  <si>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</si>
  <si>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</si>
  <si>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</si>
  <si>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</si>
  <si>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</si>
  <si>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</si>
  <si>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</si>
  <si>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</si>
  <si>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</si>
  <si>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</si>
  <si>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</si>
  <si>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</si>
  <si>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</si>
  <si>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</si>
  <si>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</si>
  <si>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</si>
  <si>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</si>
  <si>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</si>
  <si>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</si>
  <si>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</si>
  <si>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</si>
  <si>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</si>
  <si>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</si>
  <si>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</si>
  <si>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</si>
  <si>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</si>
  <si>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</si>
  <si>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</si>
  <si>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</si>
  <si>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</si>
  <si>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</si>
  <si>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</si>
  <si>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</si>
  <si>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</si>
  <si>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</si>
  <si>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</si>
  <si>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</si>
  <si>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</si>
  <si>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</si>
  <si>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</si>
  <si>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</si>
  <si>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</si>
  <si>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</si>
  <si>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</si>
  <si>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</si>
  <si>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</si>
  <si>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</si>
  <si>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</si>
  <si>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</si>
  <si>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</si>
  <si>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</si>
  <si>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</si>
  <si>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</si>
  <si>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</si>
  <si>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</si>
  <si>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</si>
  <si>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 xml:space="preserve"> 29 Jul 2026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</si>
  <si>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</si>
  <si>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</si>
  <si>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</si>
  <si>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</si>
  <si>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</si>
  <si>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</si>
  <si>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</si>
  <si>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</si>
  <si>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</si>
  <si>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</si>
  <si>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</si>
  <si>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</si>
  <si>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</si>
  <si>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</si>
  <si>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</si>
  <si>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</si>
  <si>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</si>
  <si>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</si>
  <si>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</si>
  <si>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</si>
  <si>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</si>
  <si>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</si>
  <si>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</si>
  <si>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</si>
  <si>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</si>
  <si>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</si>
  <si>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</si>
  <si>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</si>
  <si>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</si>
  <si>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</si>
  <si>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</si>
  <si>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</si>
  <si>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</si>
  <si>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</si>
  <si>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</si>
  <si>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</si>
  <si>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</si>
  <si>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</si>
  <si>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</si>
  <si>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</si>
  <si>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</si>
  <si>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</si>
  <si>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</si>
  <si>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</si>
  <si>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</si>
  <si>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</si>
  <si>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</si>
  <si>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</si>
  <si>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</si>
  <si>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</si>
  <si>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</si>
  <si>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</si>
  <si>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</si>
  <si>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</si>
  <si>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</si>
  <si>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</si>
  <si>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</si>
  <si>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</si>
  <si>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</si>
  <si>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</si>
  <si>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</si>
  <si>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</si>
  <si>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</si>
  <si>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</si>
  <si>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</si>
  <si>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</si>
  <si>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</si>
  <si>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</si>
  <si>
    <t xml:space="preserve"> 30 Jul 2026</t>
  </si>
  <si>
    <t>11.44</t>
  </si>
  <si>
    <t>891</t>
  </si>
  <si>
    <t>1.64</t>
  </si>
  <si>
    <t>9.59</t>
  </si>
  <si>
    <t>9225.78</t>
  </si>
  <si>
    <t>89762</t>
  </si>
  <si>
    <t>133975</t>
  </si>
  <si>
    <t>290.3</t>
  </si>
  <si>
    <t>0.19</t>
  </si>
  <si>
    <t>0.14</t>
  </si>
  <si>
    <t>26.36</t>
  </si>
  <si>
    <t>18.93</t>
  </si>
  <si>
    <t>23.71</t>
  </si>
  <si>
    <t>8833.78</t>
  </si>
  <si>
    <t>8.5</t>
  </si>
  <si>
    <t>25.29</t>
  </si>
  <si>
    <t>1173</t>
  </si>
  <si>
    <t>2.01</t>
  </si>
  <si>
    <t>16.72</t>
  </si>
  <si>
    <t>141.01</t>
  </si>
  <si>
    <t>3.3</t>
  </si>
  <si>
    <t>21.08</t>
  </si>
  <si>
    <t>631.32</t>
  </si>
  <si>
    <t>57142</t>
  </si>
  <si>
    <t>113979</t>
  </si>
  <si>
    <t>59.4</t>
  </si>
  <si>
    <t>8.57</t>
  </si>
  <si>
    <t>18.67</t>
  </si>
  <si>
    <t>1137</t>
  </si>
  <si>
    <t>16.21</t>
  </si>
  <si>
    <t>152.36</t>
  </si>
  <si>
    <t>2488.55</t>
  </si>
  <si>
    <t>166763</t>
  </si>
  <si>
    <t>320484</t>
  </si>
  <si>
    <t>322.7</t>
  </si>
  <si>
    <t>8.51</t>
  </si>
  <si>
    <t>797</t>
  </si>
  <si>
    <t>12.33</t>
  </si>
  <si>
    <t>1077.34</t>
  </si>
  <si>
    <t>111834</t>
  </si>
  <si>
    <t>249583</t>
  </si>
  <si>
    <t>113.7</t>
  </si>
  <si>
    <t>15.49</t>
  </si>
  <si>
    <t>25.83</t>
  </si>
  <si>
    <t>1240</t>
  </si>
  <si>
    <t>14.02</t>
  </si>
  <si>
    <t>363.4</t>
  </si>
  <si>
    <t>5.44</t>
  </si>
  <si>
    <t>341.63</t>
  </si>
  <si>
    <t>29.74</t>
  </si>
  <si>
    <t>8034.84</t>
  </si>
  <si>
    <t>127111</t>
  </si>
  <si>
    <t>377950</t>
  </si>
  <si>
    <t>253.4</t>
  </si>
  <si>
    <t>7.62</t>
  </si>
  <si>
    <t>728</t>
  </si>
  <si>
    <t>5.23</t>
  </si>
  <si>
    <t>13.3</t>
  </si>
  <si>
    <t>286.27</t>
  </si>
  <si>
    <t>282.96</t>
  </si>
  <si>
    <t>38.91</t>
  </si>
  <si>
    <t>6627.21</t>
  </si>
  <si>
    <t>420623</t>
  </si>
  <si>
    <t>1504119</t>
  </si>
  <si>
    <t>48.9</t>
  </si>
  <si>
    <t>17.16</t>
  </si>
  <si>
    <t>971</t>
  </si>
  <si>
    <t>10.75</t>
  </si>
  <si>
    <t>284.38</t>
  </si>
  <si>
    <t>41.17</t>
  </si>
  <si>
    <t>1992.02</t>
  </si>
  <si>
    <t>195102</t>
  </si>
  <si>
    <t>654970</t>
  </si>
  <si>
    <t xml:space="preserve"> 01 Aug 2026</t>
  </si>
  <si>
    <t>6.87</t>
  </si>
  <si>
    <t>553</t>
  </si>
  <si>
    <t>6.44</t>
  </si>
  <si>
    <t>116.4</t>
  </si>
  <si>
    <t>19.67</t>
  </si>
  <si>
    <t>9241.03</t>
  </si>
  <si>
    <t>91287</t>
  </si>
  <si>
    <t>136220</t>
  </si>
  <si>
    <t>290.7</t>
  </si>
  <si>
    <t xml:space="preserve"> 31 Jul 2026</t>
  </si>
  <si>
    <t>8.38</t>
  </si>
  <si>
    <t>14.91</t>
  </si>
  <si>
    <t>1.51</t>
  </si>
  <si>
    <t>19.04</t>
  </si>
  <si>
    <t>9234.17</t>
  </si>
  <si>
    <t>90734</t>
  </si>
  <si>
    <t>135446</t>
  </si>
  <si>
    <t>290.5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</si>
  <si>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</si>
  <si>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</si>
  <si>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</si>
  <si>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</si>
  <si>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</si>
  <si>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</si>
  <si>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</si>
  <si>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</si>
  <si>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</si>
  <si>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</si>
  <si>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</si>
  <si>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</si>
  <si>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</si>
  <si>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</si>
  <si>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</si>
  <si>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</si>
  <si>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</si>
  <si>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</si>
  <si>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</si>
  <si>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</si>
  <si>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</si>
  <si>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</si>
  <si>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</si>
  <si>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</si>
  <si>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</si>
  <si>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</si>
  <si>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</si>
  <si>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</si>
  <si>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</si>
  <si>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</si>
  <si>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</si>
  <si>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</si>
  <si>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</si>
  <si>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</si>
  <si>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</si>
  <si>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</si>
  <si>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</si>
  <si>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</si>
  <si>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</si>
  <si>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</si>
  <si>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</si>
  <si>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</si>
  <si>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</si>
  <si>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</si>
  <si>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</si>
  <si>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</si>
  <si>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</si>
  <si>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</si>
  <si>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</si>
  <si>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</si>
  <si>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</si>
  <si>
    <t>83.75</t>
  </si>
  <si>
    <t>77.13</t>
  </si>
  <si>
    <t>20.29</t>
  </si>
  <si>
    <t>8844.62</t>
  </si>
  <si>
    <t>244.1</t>
  </si>
  <si>
    <t>5.34</t>
  </si>
  <si>
    <t>16.85</t>
  </si>
  <si>
    <t>89.43</t>
  </si>
  <si>
    <t>20.13</t>
  </si>
  <si>
    <t>8839.12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</si>
</sst>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2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6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2" fillId="8" borderId="1" xfId="0" applyNumberFormat="1" applyFont="1" applyFill="1" applyBorder="1" applyAlignment="1">
      <alignment horizontal="center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35" formatCode="_-* #,##0.00_-;\-* #,##0.00_-;_-* &quot;-&quot;??_-;_-@_-"/>
    </dxf>
  </dxfs>
  <tableStyles count="0" defaultTableStyle="TableStyleMedium2" defaultPivotStyle="PivotStyleLight16"/>
  <colors>
    <mruColors>
      <color rgb="FF1F4E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0048354951481585E-2"/>
              <c:y val="-6.6647110287684649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6279391424619641E-2"/>
              <c:y val="-4.183006535947713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2448132780082886E-2"/>
              <c:y val="3.921568627450980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</c:pivotFmt>
      <c:pivotFmt>
        <c:idx val="3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662517289073307E-3"/>
              <c:y val="4.705882352941174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8347110138203577E-2"/>
              <c:y val="4.8346456692913382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7"/>
      </c:pivotFmt>
      <c:pivotFmt>
        <c:idx val="38"/>
      </c:pivotFmt>
      <c:pivotFmt>
        <c:idx val="39"/>
      </c:pivotFmt>
      <c:pivotFmt>
        <c:idx val="4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2987551867218911E-3"/>
              <c:y val="-6.274509803921568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710008866111892E-2"/>
              <c:y val="-4.6629499053131497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layout>
            <c:manualLayout>
              <c:x val="0"/>
              <c:y val="-1.8133694076217861E-2"/>
            </c:manualLayout>
          </c:layout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rgbClr val="1F4E78"/>
              </a:solidFill>
              <a:ln>
                <a:solidFill>
                  <a:srgbClr val="0070C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Lbls>
            <c:dLbl>
              <c:idx val="2"/>
              <c:layout>
                <c:manualLayout>
                  <c:x val="0"/>
                  <c:y val="-1.813369407621786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9C2C-4394-AE3D-E21EBB7C16B7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25/07/2026</c:v>
                  </c:pt>
                  <c:pt idx="1">
                    <c:v>24/07/2026</c:v>
                  </c:pt>
                  <c:pt idx="2">
                    <c:v>23/07/2026</c:v>
                  </c:pt>
                  <c:pt idx="3">
                    <c:v>22/07/2026</c:v>
                  </c:pt>
                  <c:pt idx="4">
                    <c:v>21/07/2026</c:v>
                  </c:pt>
                  <c:pt idx="5">
                    <c:v>20/07/2026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S30</c:v>
                  </c:pt>
                </c:lvl>
              </c:multiLvlStrCache>
            </c:multiLvlStrRef>
          </c:cat>
          <c:val>
            <c:numRef>
              <c:f>TabDin!$C$4:$C$12</c:f>
              <c:numCache>
                <c:formatCode>_(* #,##0.00_);_(* \(#,##0.00\);_(* "-"??_);_(@_)</c:formatCode>
                <c:ptCount val="6"/>
                <c:pt idx="0">
                  <c:v>11074</c:v>
                </c:pt>
                <c:pt idx="1">
                  <c:v>16640</c:v>
                </c:pt>
                <c:pt idx="2">
                  <c:v>14376</c:v>
                </c:pt>
                <c:pt idx="3">
                  <c:v>17851</c:v>
                </c:pt>
                <c:pt idx="4">
                  <c:v>14762</c:v>
                </c:pt>
                <c:pt idx="5">
                  <c:v>13656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25/07/2026</c:v>
                  </c:pt>
                  <c:pt idx="1">
                    <c:v>24/07/2026</c:v>
                  </c:pt>
                  <c:pt idx="2">
                    <c:v>23/07/2026</c:v>
                  </c:pt>
                  <c:pt idx="3">
                    <c:v>22/07/2026</c:v>
                  </c:pt>
                  <c:pt idx="4">
                    <c:v>21/07/2026</c:v>
                  </c:pt>
                  <c:pt idx="5">
                    <c:v>20/07/2026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S30</c:v>
                  </c:pt>
                </c:lvl>
              </c:multiLvlStrCache>
            </c:multiLvlStrRef>
          </c:cat>
          <c:val>
            <c:numRef>
              <c:f>TabDin!$D$4:$D$12</c:f>
              <c:numCache>
                <c:formatCode>General</c:formatCode>
                <c:ptCount val="6"/>
                <c:pt idx="0">
                  <c:v>7</c:v>
                </c:pt>
                <c:pt idx="1">
                  <c:v>7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rgbClr val="00B05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spPr>
              <a:ln w="28575" cap="rnd">
                <a:solidFill>
                  <a:srgbClr val="00B05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2"/>
              <c:layout>
                <c:manualLayout>
                  <c:x val="2.7710008866111892E-2"/>
                  <c:y val="-4.662949905313149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C2C-4394-AE3D-E21EBB7C16B7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00B05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25/07/2026</c:v>
                  </c:pt>
                  <c:pt idx="1">
                    <c:v>24/07/2026</c:v>
                  </c:pt>
                  <c:pt idx="2">
                    <c:v>23/07/2026</c:v>
                  </c:pt>
                  <c:pt idx="3">
                    <c:v>22/07/2026</c:v>
                  </c:pt>
                  <c:pt idx="4">
                    <c:v>21/07/2026</c:v>
                  </c:pt>
                  <c:pt idx="5">
                    <c:v>20/07/2026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S30</c:v>
                  </c:pt>
                </c:lvl>
              </c:multiLvlStrCache>
            </c:multiLvlStrRef>
          </c:cat>
          <c:val>
            <c:numRef>
              <c:f>TabDin!$B$4:$B$12</c:f>
              <c:numCache>
                <c:formatCode>_(* #,##0.00_);_(* \(#,##0.00\);_(* "-"??_);_(@_)</c:formatCode>
                <c:ptCount val="6"/>
                <c:pt idx="0">
                  <c:v>15000</c:v>
                </c:pt>
                <c:pt idx="1">
                  <c:v>15000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S27</c:v>
                </c:pt>
                <c:pt idx="1">
                  <c:v>S28</c:v>
                </c:pt>
                <c:pt idx="2">
                  <c:v>S29</c:v>
                </c:pt>
                <c:pt idx="3">
                  <c:v>S30</c:v>
                </c:pt>
              </c:strCache>
            </c:strRef>
          </c:cat>
          <c:val>
            <c:numRef>
              <c:f>TabDin!$R$2:$R$6</c:f>
              <c:numCache>
                <c:formatCode>_-* #,##0_-;\-* #,##0_-;_-* "-"??_-;_-@_-</c:formatCode>
                <c:ptCount val="4"/>
                <c:pt idx="0">
                  <c:v>12502</c:v>
                </c:pt>
                <c:pt idx="1">
                  <c:v>12634</c:v>
                </c:pt>
                <c:pt idx="2">
                  <c:v>8451</c:v>
                </c:pt>
                <c:pt idx="3">
                  <c:v>21413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S27</c:v>
                </c:pt>
                <c:pt idx="1">
                  <c:v>S28</c:v>
                </c:pt>
                <c:pt idx="2">
                  <c:v>S29</c:v>
                </c:pt>
                <c:pt idx="3">
                  <c:v>S30</c:v>
                </c:pt>
              </c:strCache>
            </c:strRef>
          </c:cat>
          <c:val>
            <c:numRef>
              <c:f>TabDin!$T$2:$T$6</c:f>
              <c:numCache>
                <c:formatCode>_-* #,##0_-;\-* #,##0_-;_-* "-"??_-;_-@_-</c:formatCode>
                <c:ptCount val="4"/>
                <c:pt idx="0">
                  <c:v>8482.7999999999993</c:v>
                </c:pt>
                <c:pt idx="1">
                  <c:v>8479</c:v>
                </c:pt>
                <c:pt idx="2">
                  <c:v>6570</c:v>
                </c:pt>
                <c:pt idx="3">
                  <c:v>17022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Lbls>
            <c:dLbl>
              <c:idx val="0"/>
              <c:layout>
                <c:manualLayout>
                  <c:x val="1.6789087093389193E-2"/>
                  <c:y val="-7.4232690935046391E-2"/>
                </c:manualLayout>
              </c:layout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E2-41C0-A5AE-E39A77C1C707}"/>
                </c:ext>
              </c:extLst>
            </c:dLbl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S27</c:v>
                </c:pt>
                <c:pt idx="1">
                  <c:v>S28</c:v>
                </c:pt>
                <c:pt idx="2">
                  <c:v>S29</c:v>
                </c:pt>
                <c:pt idx="3">
                  <c:v>S30</c:v>
                </c:pt>
              </c:strCache>
            </c:strRef>
          </c:cat>
          <c:val>
            <c:numRef>
              <c:f>TabDin!$S$2:$S$6</c:f>
              <c:numCache>
                <c:formatCode>_-* #,##0_-;\-* #,##0_-;_-* "-"??_-;_-@_-</c:formatCode>
                <c:ptCount val="4"/>
                <c:pt idx="0">
                  <c:v>24000</c:v>
                </c:pt>
                <c:pt idx="1">
                  <c:v>24000</c:v>
                </c:pt>
                <c:pt idx="2">
                  <c:v>24000</c:v>
                </c:pt>
                <c:pt idx="3">
                  <c:v>24000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182882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8449072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8680556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8796295" createdVersion="8" refreshedVersion="8" minRefreshableVersion="3" recordCount="839" xr:uid="{9D45AC4C-13ED-4258-A051-E1A0E0BEF410}">
  <cacheSource type="worksheet">
    <worksheetSource ref="A4:AB7098" sheet="BD"/>
  </cacheSource>
  <cacheFields count="28">
    <cacheField name="Data" numFmtId="14">
      <sharedItems containsNonDate="0" containsDate="1" containsString="0" containsBlank="1" minDate="2026-05-04T00:00:00" maxDate="2026-07-27T00:00:00" count="85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m/>
      </sharedItems>
    </cacheField>
    <cacheField name="Semana" numFmtId="0">
      <sharedItems containsBlank="1" count="14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m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430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11.86440677966107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7318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060.9500000000007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11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9259257" createdVersion="8" refreshedVersion="8" minRefreshableVersion="3" recordCount="839" xr:uid="{8D9D6DB7-C64F-4C80-9A78-61C3071D7139}">
  <cacheSource type="worksheet">
    <worksheetSource ref="A4:AB2532" sheet="BD"/>
  </cacheSource>
  <cacheFields count="28">
    <cacheField name="Data" numFmtId="14">
      <sharedItems containsNonDate="0" containsDate="1" containsString="0" containsBlank="1" minDate="2026-05-04T00:00:00" maxDate="2026-07-27T00:00:00" count="85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m/>
      </sharedItems>
    </cacheField>
    <cacheField name="Semana" numFmtId="0">
      <sharedItems containsBlank="1" count="15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m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430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11.86440677966107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7318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060.9500000000007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11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6" firstHeaderRow="0" firstDataRow="1" firstDataCol="1"/>
  <pivotFields count="28">
    <pivotField axis="axisRow" showAll="0" sortType="ascending">
      <items count="8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t="default"/>
      </items>
    </pivotField>
    <pivotField axis="axisRow" showAll="0" sortType="ascending">
      <items count="15">
        <item h="1" x="1"/>
        <item h="1" sd="0" x="0"/>
        <item h="1" sd="0" x="2"/>
        <item h="1" sd="0" x="3"/>
        <item h="1" sd="0" x="4"/>
        <item h="1" sd="0" x="5"/>
        <item h="1" sd="0" x="6"/>
        <item h="1" sd="0" x="7"/>
        <item h="1" sd="0" x="8"/>
        <item sd="0" x="9"/>
        <item sd="0" x="10"/>
        <item sd="0" x="11"/>
        <item sd="0" x="12"/>
        <item h="1" x="13"/>
        <item t="default"/>
      </items>
    </pivotField>
    <pivotField showAll="0"/>
    <pivotField showAll="0"/>
    <pivotField showAll="0">
      <items count="8">
        <item h="1" x="4"/>
        <item h="1" x="1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5">
    <i>
      <x v="9"/>
    </i>
    <i>
      <x v="10"/>
    </i>
    <i>
      <x v="11"/>
    </i>
    <i>
      <x v="1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5">
      <pivotArea outline="0" collapsedLevelsAreSubtotals="1" fieldPosition="0"/>
    </format>
    <format dxfId="4">
      <pivotArea dataOnly="0" labelOnly="1" fieldPosition="0">
        <references count="1">
          <reference field="1" count="0"/>
        </references>
      </pivotArea>
    </format>
    <format dxfId="3">
      <pivotArea dataOnly="0" labelOnly="1" grandRow="1" outline="0" fieldPosition="0"/>
    </format>
    <format dxfId="2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1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0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41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3">
  <location ref="A3:D12" firstHeaderRow="0" firstDataRow="1" firstDataCol="1"/>
  <pivotFields count="28">
    <pivotField axis="axisRow" showAll="0" sortType="descending">
      <items count="86"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16">
        <item h="1" x="1"/>
        <item h="1" m="1" x="14"/>
        <item h="1" x="0"/>
        <item h="1" x="13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x="12"/>
        <item t="default"/>
      </items>
    </pivotField>
    <pivotField showAll="0"/>
    <pivotField dataField="1" showAll="0"/>
    <pivotField axis="axisRow" showAll="0">
      <items count="8">
        <item h="1" x="4"/>
        <item h="1" x="1"/>
        <item h="1" x="0"/>
        <item x="2"/>
        <item h="1" x="5"/>
        <item h="1" x="3"/>
        <item h="1" x="6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9">
    <i>
      <x v="14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6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4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39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38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37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33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24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23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17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4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15">
        <i x="1"/>
        <i x="0"/>
        <i x="2"/>
        <i x="3"/>
        <i x="4"/>
        <i x="5"/>
        <i x="6"/>
        <i x="7"/>
        <i x="8"/>
        <i x="9"/>
        <i x="10"/>
        <i x="11"/>
        <i x="12" s="1"/>
        <i x="14" nd="1"/>
        <i x="13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7">
        <i x="0"/>
        <i x="6"/>
        <i x="2" s="1"/>
        <i x="4" nd="1"/>
        <i x="1" nd="1"/>
        <i x="3" nd="1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4">
        <i x="1"/>
        <i x="0"/>
        <i x="2"/>
        <i x="3"/>
        <i x="4"/>
        <i x="5"/>
        <i x="6"/>
        <i x="7"/>
        <i x="8"/>
        <i x="9" s="1"/>
        <i x="10" s="1"/>
        <i x="11" s="1"/>
        <i x="12" s="1"/>
        <i x="13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7">
        <i x="0" s="1"/>
        <i x="6"/>
        <i x="2"/>
        <i x="4" nd="1"/>
        <i x="1" nd="1"/>
        <i x="3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7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6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zoomScaleNormal="100" workbookViewId="0">
      <selection activeCell="S6" sqref="S6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46223</v>
      </c>
      <c r="D2" s="81"/>
      <c r="E2" s="62" t="s">
        <v>1</v>
      </c>
      <c r="F2" s="81">
        <v>46229</v>
      </c>
      <c r="G2" s="81"/>
      <c r="H2" s="61"/>
      <c r="I2" s="82" t="s">
        <v>2</v>
      </c>
      <c r="J2" s="82"/>
      <c r="K2" s="61">
        <f>_xlfn.ISOWEEKNUM(C2)</f>
        <v>30</v>
      </c>
      <c r="L2" s="61" t="s">
        <v>1</v>
      </c>
      <c r="M2" s="61">
        <f>_xlfn.ISOWEEKNUM(F2)</f>
        <v>30</v>
      </c>
      <c r="U2" s="63"/>
      <c r="V2" s="63"/>
      <c r="W2" s="63"/>
      <c r="X2" s="63"/>
      <c r="Y2" s="63"/>
      <c r="Z2" s="63"/>
      <c r="AA2" s="63"/>
    </row>
    <row r="3" spans="1:27" x14ac:dyDescent="0.2">
      <c r="C3" t="s">
        <v>3</v>
      </c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topLeftCell="A4" workbookViewId="0">
      <selection activeCell="R11" sqref="R11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46202</v>
      </c>
      <c r="D2" s="81"/>
      <c r="E2" s="62" t="s">
        <v>1</v>
      </c>
      <c r="F2" s="81">
        <v>46228</v>
      </c>
      <c r="G2" s="81"/>
      <c r="H2" s="61"/>
      <c r="I2" s="82" t="s">
        <v>2</v>
      </c>
      <c r="J2" s="82"/>
      <c r="K2" s="61">
        <f>_xlfn.ISOWEEKNUM(C2)</f>
        <v>27</v>
      </c>
      <c r="L2" s="61" t="s">
        <v>1</v>
      </c>
      <c r="M2" s="61">
        <f>_xlfn.ISOWEEKNUM(F2)</f>
        <v>30</v>
      </c>
      <c r="U2" s="63"/>
      <c r="V2" s="63"/>
      <c r="W2" s="63"/>
      <c r="X2" s="63"/>
      <c r="Y2" s="63"/>
      <c r="Z2" s="63"/>
      <c r="AA2" s="63"/>
    </row>
    <row r="3" spans="1:27" x14ac:dyDescent="0.2"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844"/>
  <sheetViews>
    <sheetView tabSelected="1" zoomScaleNormal="100" workbookViewId="0">
      <pane ySplit="4" topLeftCell="A699" activePane="bottomLeft" state="frozen"/>
      <selection pane="bottomLeft" activeCell="G708" sqref="G708"/>
    </sheetView>
  </sheetViews>
  <sheetFormatPr defaultColWidth="9.140625" defaultRowHeight="15" x14ac:dyDescent="0.2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3" t="s">
        <v>4</v>
      </c>
      <c r="O1" s="75"/>
    </row>
    <row r="2" spans="1:28" x14ac:dyDescent="0.25">
      <c r="A2" s="53" t="s">
        <v>5</v>
      </c>
      <c r="H2" s="1">
        <f>15000/7</f>
        <v>2142.8571428571427</v>
      </c>
      <c r="O2" s="75"/>
    </row>
    <row r="3" spans="1:28" x14ac:dyDescent="0.25">
      <c r="A3" s="53" t="s">
        <v>6</v>
      </c>
      <c r="O3" s="75"/>
    </row>
    <row r="4" spans="1:28" x14ac:dyDescent="0.25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6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7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 t="shared" ref="I12:I17" si="0"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 t="shared" si="0"/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 t="shared" si="0"/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 t="shared" si="0"/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 t="shared" si="0"/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 t="shared" si="0"/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 t="shared" ref="I20:I26" si="1"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7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 t="shared" si="1"/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 t="shared" si="1"/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 t="shared" si="1"/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 t="shared" si="1"/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 t="shared" si="1"/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 t="shared" si="1"/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 t="shared" ref="I29:I35" si="2"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7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 t="shared" si="2"/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 t="shared" si="2"/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 t="shared" si="2"/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 t="shared" si="2"/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 t="shared" si="2"/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 t="shared" si="2"/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 t="shared" ref="I37:I43" si="3"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7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 t="shared" si="3"/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 t="shared" si="3"/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 t="shared" si="3"/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 t="shared" si="3"/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 t="shared" si="3"/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 t="shared" si="3"/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 t="shared" ref="I45:I51" si="4"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7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 t="shared" si="4"/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 t="shared" si="4"/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 t="shared" si="4"/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 t="shared" si="4"/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 t="shared" si="4"/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 t="shared" si="4"/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 t="shared" ref="I53:I68" si="5"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7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 t="shared" si="5"/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 t="shared" si="5"/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 t="shared" si="5"/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 t="shared" si="5"/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 t="shared" si="5"/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 t="shared" si="5"/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7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 t="shared" si="5"/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 t="shared" si="5"/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 t="shared" si="5"/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 t="shared" si="5"/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 t="shared" si="5"/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 t="shared" si="5"/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 t="shared" si="5"/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 t="shared" si="5"/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7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 t="shared" si="5"/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 t="shared" ref="I70:I77" si="6"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 t="shared" si="6"/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 t="shared" si="6"/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 t="shared" si="6"/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7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 t="shared" si="6"/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 t="shared" si="6"/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 t="shared" si="6"/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 t="shared" si="6"/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 t="shared" ref="I79:I92" si="7"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 t="shared" si="7"/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 t="shared" si="7"/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7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 t="shared" si="7"/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 t="shared" si="7"/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 t="shared" si="7"/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 t="shared" si="7"/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 t="shared" si="7"/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 t="shared" si="7"/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 t="shared" si="7"/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7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 t="shared" si="7"/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 t="shared" si="7"/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 t="shared" si="7"/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 t="shared" si="7"/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 t="shared" ref="I94:I99" si="8"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 t="shared" si="8"/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 t="shared" si="8"/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7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 t="shared" si="8"/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 t="shared" si="8"/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 t="shared" si="8"/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 t="shared" ref="I101:I107" si="9"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 t="shared" si="9"/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 t="shared" si="9"/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 t="shared" si="9"/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7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 t="shared" si="9"/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 t="shared" si="9"/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 t="shared" si="9"/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 t="shared" ref="I109:I120" si="10"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 t="shared" si="10"/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 t="shared" si="10"/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 t="shared" si="10"/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7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 t="shared" si="10"/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 t="shared" si="10"/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 t="shared" si="10"/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 t="shared" si="10"/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 t="shared" si="10"/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 t="shared" si="10"/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 t="shared" si="10"/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7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 t="shared" si="10"/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 t="shared" ref="I125:I131" si="11"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 t="shared" si="11"/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 t="shared" si="11"/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7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 t="shared" si="11"/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 t="shared" si="11"/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 t="shared" si="11"/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 t="shared" si="11"/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 t="shared" ref="I133:I139" si="12"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 t="shared" si="12"/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 t="shared" si="12"/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7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 t="shared" si="12"/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 t="shared" si="12"/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 t="shared" si="12"/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 t="shared" si="12"/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 t="shared" ref="I141:I147" si="13"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 t="shared" si="13"/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7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 t="shared" si="13"/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 t="shared" si="13"/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 t="shared" si="13"/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 t="shared" si="13"/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 t="shared" si="13"/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 t="shared" ref="I149:I155" si="14"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 t="shared" si="14"/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7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 t="shared" si="14"/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8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 t="shared" si="14"/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 t="shared" si="14"/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 t="shared" si="14"/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 t="shared" si="14"/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 t="shared" ref="I157:I163" si="15"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 t="shared" si="15"/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 t="shared" si="15"/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7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 t="shared" si="15"/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8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 t="shared" si="15"/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 t="shared" si="15"/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 t="shared" si="15"/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7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 t="shared" ref="I170:I177" si="16"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 t="shared" si="16"/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 t="shared" si="16"/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 t="shared" si="16"/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 t="shared" si="16"/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 t="shared" si="16"/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7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 t="shared" si="16"/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 t="shared" si="16"/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 t="shared" ref="I179:I185" si="17"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 t="shared" si="17"/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 t="shared" si="17"/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 t="shared" si="17"/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7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 t="shared" si="17"/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 t="shared" si="17"/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 t="shared" si="17"/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 t="shared" ref="I187:I193" si="18"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 t="shared" si="18"/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 t="shared" si="18"/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 t="shared" si="18"/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7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 t="shared" si="18"/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 t="shared" si="18"/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 t="shared" si="18"/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 t="shared" ref="I195:I201" si="19"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 t="shared" si="19"/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 t="shared" si="19"/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 t="shared" si="19"/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7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 t="shared" si="19"/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 t="shared" si="19"/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 t="shared" si="19"/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 t="shared" ref="I203:I209" si="20"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 t="shared" si="20"/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 t="shared" si="20"/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7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 t="shared" si="20"/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 t="shared" si="20"/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 t="shared" si="20"/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 t="shared" si="20"/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 t="shared" ref="I211:I217" si="21"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 t="shared" si="21"/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 t="shared" si="21"/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7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 t="shared" si="21"/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 t="shared" si="21"/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 t="shared" si="21"/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 t="shared" si="21"/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 t="shared" ref="I219:I240" si="22"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 t="shared" si="22"/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 t="shared" si="22"/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7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 t="shared" si="22"/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 t="shared" si="22"/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 t="shared" si="22"/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 t="shared" si="22"/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 t="shared" si="22"/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 t="shared" si="22"/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 t="shared" si="22"/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 t="shared" si="22"/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 t="shared" si="22"/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7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 t="shared" si="22"/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 t="shared" si="22"/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 t="shared" si="22"/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 t="shared" si="22"/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 t="shared" si="22"/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 t="shared" si="22"/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 t="shared" si="22"/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7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 t="shared" si="22"/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 t="shared" si="22"/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 t="shared" si="22"/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 t="shared" ref="I242:I248" si="23"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 t="shared" si="23"/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 t="shared" si="23"/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 t="shared" si="23"/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7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 t="shared" si="23"/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 t="shared" si="23"/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 t="shared" si="23"/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 t="shared" ref="I250:I256" si="24"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 t="shared" si="24"/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 t="shared" si="24"/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 t="shared" si="24"/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7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 t="shared" si="24"/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 t="shared" si="24"/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 t="shared" si="24"/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 t="shared" ref="I258:I264" si="25"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 t="shared" si="25"/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 t="shared" si="25"/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7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 t="shared" si="25"/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7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 t="shared" si="25"/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 t="shared" si="25"/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 t="shared" si="25"/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 t="shared" ref="I266:I272" si="26"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 t="shared" si="26"/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 t="shared" si="26"/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7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 t="shared" si="26"/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7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 t="shared" si="26"/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 t="shared" si="26"/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 t="shared" si="26"/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 t="shared" ref="I274:I280" si="27"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 t="shared" si="27"/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 t="shared" si="27"/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 t="shared" si="27"/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7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 t="shared" si="27"/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 t="shared" si="27"/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 t="shared" si="27"/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 t="shared" ref="I283:I295" si="28"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 t="shared" si="28"/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 t="shared" si="28"/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7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 t="shared" si="28"/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 t="shared" si="28"/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 t="shared" si="28"/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 t="shared" si="28"/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 t="shared" si="28"/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 t="shared" si="28"/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 t="shared" si="28"/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 t="shared" si="28"/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 t="shared" si="28"/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7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 t="shared" si="28"/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 t="shared" ref="I297:I310" si="29"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 t="shared" si="29"/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 t="shared" si="29"/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 t="shared" si="29"/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 t="shared" si="29"/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 t="shared" si="29"/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7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 t="shared" si="29"/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 t="shared" si="29"/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 t="shared" si="29"/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 t="shared" si="29"/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 t="shared" si="29"/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 t="shared" si="29"/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 t="shared" si="29"/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7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 t="shared" si="29"/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 t="shared" ref="I312:I325" si="30"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 t="shared" si="30"/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 t="shared" si="30"/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 t="shared" si="30"/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 t="shared" si="30"/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 t="shared" si="30"/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7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 t="shared" si="30"/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 t="shared" si="30"/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 t="shared" si="30"/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 t="shared" si="30"/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 t="shared" si="30"/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 t="shared" si="30"/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 t="shared" si="30"/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7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 t="shared" si="30"/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 t="shared" ref="I328:I349" si="31"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 t="shared" si="31"/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 t="shared" si="31"/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 t="shared" si="31"/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 t="shared" si="31"/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7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 t="shared" si="31"/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 t="shared" si="31"/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 t="shared" si="31"/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 t="shared" si="31"/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 t="shared" si="31"/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 t="shared" si="31"/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 t="shared" si="31"/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 t="shared" si="31"/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7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 t="shared" si="31"/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 t="shared" si="31"/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 t="shared" si="31"/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 t="shared" si="31"/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 t="shared" si="31"/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 t="shared" si="31"/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 t="shared" si="31"/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7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 t="shared" si="31"/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 t="shared" si="31"/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 t="shared" ref="I351:I364" si="32"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 t="shared" si="32"/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 t="shared" si="32"/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 t="shared" si="32"/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 t="shared" si="32"/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 t="shared" si="32"/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7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 t="shared" si="32"/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 t="shared" si="32"/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 t="shared" si="32"/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 t="shared" si="32"/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 t="shared" si="32"/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 t="shared" si="32"/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 t="shared" si="32"/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7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 t="shared" si="32"/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 t="shared" ref="I366:I372" si="33"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 t="shared" si="33"/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 t="shared" si="33"/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 t="shared" si="33"/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 t="shared" si="33"/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 t="shared" si="33"/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7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 t="shared" si="33"/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 t="shared" ref="I374:I409" si="34"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 t="shared" si="34"/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 t="shared" si="34"/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 t="shared" si="34"/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 t="shared" si="34"/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7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 t="shared" si="34"/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 t="shared" si="34"/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 t="shared" si="34"/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 t="shared" si="34"/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 t="shared" si="34"/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 t="shared" si="34"/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 t="shared" si="34"/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7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 t="shared" si="34"/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 t="shared" si="34"/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 t="shared" si="34"/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 t="shared" si="34"/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 t="shared" si="34"/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 t="shared" si="34"/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 t="shared" si="34"/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 t="shared" si="34"/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 t="shared" si="34"/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7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 t="shared" si="34"/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 t="shared" si="34"/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 t="shared" si="34"/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 t="shared" si="34"/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7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 t="shared" si="34"/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 t="shared" si="34"/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 t="shared" si="34"/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 t="shared" si="34"/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 t="shared" si="34"/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 t="shared" si="34"/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 t="shared" si="34"/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 t="shared" si="34"/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 t="shared" si="34"/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7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 t="shared" si="34"/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 t="shared" si="34"/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 t="shared" ref="I411:I442" si="35"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 t="shared" si="35"/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 t="shared" si="35"/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 t="shared" si="35"/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 t="shared" si="35"/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 t="shared" si="35"/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7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 t="shared" si="35"/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 t="shared" si="35"/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 t="shared" si="35"/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 t="shared" si="35"/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 t="shared" si="35"/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 t="shared" si="35"/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 t="shared" si="35"/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 t="shared" si="35"/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7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 t="shared" si="35"/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 t="shared" si="35"/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 t="shared" si="35"/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 t="shared" si="35"/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 t="shared" si="35"/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 t="shared" si="35"/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 t="shared" si="35"/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 t="shared" si="35"/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7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 t="shared" si="35"/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 t="shared" si="35"/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 t="shared" si="35"/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 t="shared" si="35"/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 t="shared" si="35"/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 t="shared" si="35"/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 t="shared" si="35"/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 t="shared" si="35"/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7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 t="shared" si="35"/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 t="shared" si="35"/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 t="shared" ref="I443:I465" si="36"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 t="shared" si="36"/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 t="shared" si="36"/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 t="shared" si="36"/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 t="shared" si="36"/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7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 t="shared" si="36"/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 t="shared" si="36"/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 t="shared" si="36"/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 t="shared" si="36"/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 t="shared" si="36"/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 t="shared" si="36"/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 t="shared" si="36"/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 t="shared" si="36"/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 t="shared" si="36"/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 t="shared" si="36"/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7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 t="shared" si="36"/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 t="shared" si="36"/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 t="shared" si="36"/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 t="shared" si="36"/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 t="shared" si="36"/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 t="shared" si="36"/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 t="shared" si="36"/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7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 t="shared" si="36"/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 t="shared" ref="I467:I474" si="37"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 t="shared" si="37"/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 t="shared" si="37"/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 t="shared" si="37"/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 t="shared" si="37"/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 t="shared" si="37"/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 t="shared" si="37"/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7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 t="shared" si="37"/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 t="shared" ref="I476:I507" si="38"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 t="shared" si="38"/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 t="shared" si="38"/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 t="shared" si="38"/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 t="shared" si="38"/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 t="shared" si="38"/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7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 t="shared" si="38"/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 t="shared" si="38"/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 t="shared" si="38"/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 t="shared" si="38"/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 t="shared" si="38"/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 t="shared" si="38"/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 t="shared" si="38"/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7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 t="shared" si="38"/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 t="shared" si="38"/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 t="shared" si="38"/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 t="shared" si="38"/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 t="shared" si="38"/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 t="shared" si="38"/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 t="shared" si="38"/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7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 t="shared" si="38"/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 t="shared" si="38"/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 t="shared" si="38"/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 t="shared" si="38"/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 t="shared" si="38"/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 t="shared" si="38"/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 t="shared" si="38"/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7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 t="shared" si="38"/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 t="shared" si="38"/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 t="shared" si="38"/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 t="shared" si="38"/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 t="shared" si="38"/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 t="shared" ref="I508:I539" si="39">IFERROR(O508/K508,)</f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 t="shared" si="39"/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 t="shared" si="39"/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 t="shared" si="39"/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7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 t="shared" si="39"/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 t="shared" si="39"/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 t="shared" si="39"/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 t="shared" si="39"/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 t="shared" si="39"/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 t="shared" si="39"/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 t="shared" si="39"/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 t="shared" si="39"/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7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 t="shared" ref="H520:H526" si="40">15000/7</f>
        <v>2142.8571428571427</v>
      </c>
      <c r="I520" s="6">
        <f t="shared" si="39"/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 t="shared" si="40"/>
        <v>2142.8571428571427</v>
      </c>
      <c r="I521" s="6">
        <f t="shared" si="39"/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 t="shared" si="40"/>
        <v>2142.8571428571427</v>
      </c>
      <c r="I522" s="6">
        <f t="shared" si="39"/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 t="shared" si="40"/>
        <v>2142.8571428571427</v>
      </c>
      <c r="I523" s="6">
        <f t="shared" si="39"/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 t="shared" si="40"/>
        <v>2142.8571428571427</v>
      </c>
      <c r="I524" s="6">
        <f t="shared" si="39"/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 t="shared" si="40"/>
        <v>2142.8571428571427</v>
      </c>
      <c r="I525" s="6">
        <f t="shared" si="39"/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 t="shared" si="40"/>
        <v>2142.8571428571427</v>
      </c>
      <c r="I526" s="6">
        <f t="shared" si="39"/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 t="shared" si="39"/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7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 t="shared" ref="H528:H534" si="41">15000/7</f>
        <v>2142.8571428571427</v>
      </c>
      <c r="I528" s="6">
        <f t="shared" si="39"/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 t="shared" si="41"/>
        <v>2142.8571428571427</v>
      </c>
      <c r="I529" s="6">
        <f t="shared" si="39"/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 t="shared" si="41"/>
        <v>2142.8571428571427</v>
      </c>
      <c r="I530" s="6">
        <f t="shared" si="39"/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 t="shared" si="41"/>
        <v>2142.8571428571427</v>
      </c>
      <c r="I531" s="6">
        <f t="shared" si="39"/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 t="shared" si="41"/>
        <v>2142.8571428571427</v>
      </c>
      <c r="I532" s="6">
        <f t="shared" si="39"/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 t="shared" si="41"/>
        <v>2142.8571428571427</v>
      </c>
      <c r="I533" s="6">
        <f t="shared" si="39"/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 t="shared" si="41"/>
        <v>2142.8571428571427</v>
      </c>
      <c r="I534" s="6">
        <f t="shared" si="39"/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 t="shared" si="39"/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7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 t="shared" ref="H536:H542" si="42">15000/7</f>
        <v>2142.8571428571427</v>
      </c>
      <c r="I536" s="6">
        <f t="shared" si="39"/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 t="shared" si="42"/>
        <v>2142.8571428571427</v>
      </c>
      <c r="I537" s="6">
        <f t="shared" si="39"/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 t="shared" si="42"/>
        <v>2142.8571428571427</v>
      </c>
      <c r="I538" s="6">
        <f t="shared" si="39"/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 t="shared" si="42"/>
        <v>2142.8571428571427</v>
      </c>
      <c r="I539" s="6">
        <f t="shared" si="39"/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 t="shared" si="42"/>
        <v>2142.8571428571427</v>
      </c>
      <c r="I540" s="6">
        <f t="shared" ref="I540:I571" si="43"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 t="shared" si="42"/>
        <v>2142.8571428571427</v>
      </c>
      <c r="I541" s="6">
        <f t="shared" si="43"/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 t="shared" si="42"/>
        <v>2142.8571428571427</v>
      </c>
      <c r="I542" s="6">
        <f t="shared" si="43"/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 t="shared" si="43"/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7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 t="shared" si="43"/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 t="shared" si="43"/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7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 t="shared" ref="H546:H551" si="44">15000/7</f>
        <v>2142.8571428571427</v>
      </c>
      <c r="I546" s="6">
        <f t="shared" si="43"/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 t="shared" si="44"/>
        <v>2142.8571428571427</v>
      </c>
      <c r="I547" s="6">
        <f t="shared" si="43"/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 t="shared" si="44"/>
        <v>2142.8571428571427</v>
      </c>
      <c r="I548" s="6">
        <f t="shared" si="43"/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 t="shared" si="44"/>
        <v>2142.8571428571427</v>
      </c>
      <c r="I549" s="6">
        <f t="shared" si="43"/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 t="shared" si="44"/>
        <v>2142.8571428571427</v>
      </c>
      <c r="I550" s="6">
        <f t="shared" si="43"/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 t="shared" si="44"/>
        <v>2142.8571428571427</v>
      </c>
      <c r="I551" s="6">
        <f t="shared" si="43"/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 t="shared" si="43"/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 t="shared" si="43"/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 t="shared" si="43"/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 t="shared" si="43"/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 t="shared" si="43"/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 t="shared" si="43"/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 t="shared" si="43"/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7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 t="shared" si="43"/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 t="shared" ref="H560:H565" si="45">15000/6</f>
        <v>2500</v>
      </c>
      <c r="I560" s="6">
        <f t="shared" si="43"/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 t="shared" si="45"/>
        <v>2500</v>
      </c>
      <c r="I561" s="6">
        <f t="shared" si="43"/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 t="shared" si="45"/>
        <v>2500</v>
      </c>
      <c r="I562" s="6">
        <f t="shared" si="43"/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 t="shared" si="45"/>
        <v>2500</v>
      </c>
      <c r="I563" s="6">
        <f t="shared" si="43"/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 t="shared" si="45"/>
        <v>2500</v>
      </c>
      <c r="I564" s="6">
        <f t="shared" si="43"/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 t="shared" si="45"/>
        <v>2500</v>
      </c>
      <c r="I565" s="6">
        <f t="shared" si="43"/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 t="shared" si="43"/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79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 t="shared" si="43"/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 t="shared" ref="H568:H573" si="46">15000/6</f>
        <v>2500</v>
      </c>
      <c r="I568" s="6">
        <f t="shared" si="43"/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 t="shared" si="46"/>
        <v>2500</v>
      </c>
      <c r="I569" s="6">
        <f t="shared" si="43"/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 t="shared" si="46"/>
        <v>2500</v>
      </c>
      <c r="I570" s="6">
        <f t="shared" si="43"/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 t="shared" si="46"/>
        <v>2500</v>
      </c>
      <c r="I571" s="6">
        <f t="shared" si="43"/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 t="shared" si="46"/>
        <v>2500</v>
      </c>
      <c r="I572" s="6">
        <f t="shared" ref="I572:I603" si="47">IFERROR(O572/K572,)</f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 t="shared" si="46"/>
        <v>2500</v>
      </c>
      <c r="I573" s="6">
        <f t="shared" si="47"/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 t="shared" si="47"/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79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 t="shared" si="47"/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 t="shared" si="47"/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 t="shared" si="47"/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 t="shared" si="47"/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 t="shared" si="47"/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 t="shared" si="47"/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 t="shared" si="47"/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 t="shared" si="47"/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79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 t="shared" si="47"/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 t="shared" ref="H584:H589" si="48">15000/7</f>
        <v>2142.8571428571427</v>
      </c>
      <c r="I584" s="6">
        <f t="shared" si="47"/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 t="shared" si="48"/>
        <v>2142.8571428571427</v>
      </c>
      <c r="I585" s="6">
        <f t="shared" si="47"/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 t="shared" si="48"/>
        <v>2142.8571428571427</v>
      </c>
      <c r="I586" s="6">
        <f t="shared" si="47"/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 t="shared" si="48"/>
        <v>2142.8571428571427</v>
      </c>
      <c r="I587" s="6">
        <f t="shared" si="47"/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 t="shared" si="48"/>
        <v>2142.8571428571427</v>
      </c>
      <c r="I588" s="6">
        <f t="shared" si="47"/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 t="shared" si="48"/>
        <v>2142.8571428571427</v>
      </c>
      <c r="I589" s="6">
        <f t="shared" si="47"/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 t="shared" si="47"/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79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 t="shared" ref="H591:H597" si="49">15000/7</f>
        <v>2142.8571428571427</v>
      </c>
      <c r="I591" s="6">
        <f t="shared" si="47"/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 t="shared" si="49"/>
        <v>2142.8571428571427</v>
      </c>
      <c r="I592" s="6">
        <f t="shared" si="47"/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 t="shared" si="49"/>
        <v>2142.8571428571427</v>
      </c>
      <c r="I593" s="6">
        <f t="shared" si="47"/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 t="shared" si="49"/>
        <v>2142.8571428571427</v>
      </c>
      <c r="I594" s="6">
        <f t="shared" si="47"/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 t="shared" si="49"/>
        <v>2142.8571428571427</v>
      </c>
      <c r="I595" s="6">
        <f t="shared" si="47"/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 t="shared" si="49"/>
        <v>2142.8571428571427</v>
      </c>
      <c r="I596" s="6">
        <f t="shared" si="47"/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 t="shared" si="49"/>
        <v>2142.8571428571427</v>
      </c>
      <c r="I597" s="6">
        <f t="shared" si="47"/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 t="shared" si="47"/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79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 t="shared" si="47"/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 t="shared" ref="H600:H605" si="50">15000/6</f>
        <v>2500</v>
      </c>
      <c r="I600" s="6">
        <f t="shared" si="47"/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 t="shared" si="50"/>
        <v>2500</v>
      </c>
      <c r="I601" s="6">
        <f t="shared" si="47"/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 t="shared" si="50"/>
        <v>2500</v>
      </c>
      <c r="I602" s="6">
        <f t="shared" si="47"/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 t="shared" si="50"/>
        <v>2500</v>
      </c>
      <c r="I603" s="6">
        <f t="shared" si="47"/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 t="shared" si="50"/>
        <v>2500</v>
      </c>
      <c r="I604" s="6">
        <f t="shared" ref="I604:I635" si="51"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 t="shared" si="50"/>
        <v>2500</v>
      </c>
      <c r="I605" s="6">
        <f t="shared" si="51"/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 t="shared" si="51"/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79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 t="shared" si="51"/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 t="shared" si="51"/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 t="shared" si="51"/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 t="shared" si="51"/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 t="shared" si="51"/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 t="shared" si="51"/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 t="shared" si="51"/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 t="shared" si="51"/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 t="shared" si="51"/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>15000/6</f>
        <v>2500</v>
      </c>
      <c r="I616" s="6">
        <f t="shared" si="51"/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79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 t="shared" ref="H617:H621" si="52">15000/6</f>
        <v>2500</v>
      </c>
      <c r="I617" s="6">
        <f t="shared" si="51"/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79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 t="shared" si="52"/>
        <v>2500</v>
      </c>
      <c r="I618" s="6">
        <f t="shared" si="51"/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 t="shared" si="52"/>
        <v>2500</v>
      </c>
      <c r="I619" s="6">
        <f t="shared" si="51"/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 t="shared" si="52"/>
        <v>2500</v>
      </c>
      <c r="I620" s="6">
        <f t="shared" si="51"/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 t="shared" si="52"/>
        <v>2500</v>
      </c>
      <c r="I621" s="6">
        <f t="shared" si="51"/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 t="shared" si="51"/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 t="shared" si="51"/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 t="shared" si="51"/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 t="shared" si="51"/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79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 t="shared" si="51"/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 t="shared" ref="H627:H629" si="53">15000/5</f>
        <v>3000</v>
      </c>
      <c r="I627" s="6">
        <f t="shared" si="51"/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 t="shared" si="53"/>
        <v>3000</v>
      </c>
      <c r="I628" s="6">
        <f t="shared" si="51"/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 t="shared" si="53"/>
        <v>3000</v>
      </c>
      <c r="I629" s="6">
        <f t="shared" si="51"/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 t="shared" si="51"/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 t="shared" si="51"/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 t="shared" si="51"/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 t="shared" si="51"/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79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 t="shared" si="51"/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 t="shared" ref="H635:H647" si="54">15000/6</f>
        <v>2500</v>
      </c>
      <c r="I635" s="6">
        <f t="shared" si="51"/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 t="shared" si="54"/>
        <v>2500</v>
      </c>
      <c r="I636" s="6">
        <f t="shared" ref="I636:I684" si="55">IFERROR(O636/K636,)</f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 t="shared" si="54"/>
        <v>2500</v>
      </c>
      <c r="I637" s="6">
        <f t="shared" si="55"/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 t="shared" si="55"/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 t="shared" si="54"/>
        <v>2500</v>
      </c>
      <c r="I639" s="6">
        <f t="shared" si="55"/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 t="shared" si="54"/>
        <v>2500</v>
      </c>
      <c r="I640" s="6">
        <f t="shared" si="55"/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 t="shared" si="55"/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79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 t="shared" si="54"/>
        <v>2500</v>
      </c>
      <c r="I642" s="6">
        <f t="shared" si="55"/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 t="shared" si="54"/>
        <v>2500</v>
      </c>
      <c r="I643" s="6">
        <f t="shared" si="55"/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 t="shared" si="54"/>
        <v>2500</v>
      </c>
      <c r="I644" s="6">
        <f t="shared" si="55"/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 t="shared" si="54"/>
        <v>2500</v>
      </c>
      <c r="I645" s="6">
        <f t="shared" si="55"/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 t="shared" si="55"/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 t="shared" si="54"/>
        <v>2500</v>
      </c>
      <c r="I647" s="6">
        <f t="shared" si="55"/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>15000/7</f>
        <v>2142.8571428571427</v>
      </c>
      <c r="I648" s="6">
        <f t="shared" si="55"/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 t="shared" ref="H649:H663" si="56">15000/7</f>
        <v>2142.8571428571427</v>
      </c>
      <c r="I649" s="6">
        <f t="shared" si="55"/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79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 t="shared" si="56"/>
        <v>2142.8571428571427</v>
      </c>
      <c r="I650" s="6">
        <f t="shared" si="55"/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79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 t="shared" si="56"/>
        <v>2142.8571428571427</v>
      </c>
      <c r="I651" s="6">
        <f t="shared" si="55"/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 t="shared" si="56"/>
        <v>2142.8571428571427</v>
      </c>
      <c r="I652" s="6">
        <f t="shared" si="55"/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 t="shared" si="56"/>
        <v>2142.8571428571427</v>
      </c>
      <c r="I653" s="6">
        <f t="shared" si="55"/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 t="shared" si="55"/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 t="shared" si="56"/>
        <v>2142.8571428571427</v>
      </c>
      <c r="I655" s="6">
        <f t="shared" si="55"/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 t="shared" si="56"/>
        <v>2142.8571428571427</v>
      </c>
      <c r="I656" s="6">
        <f t="shared" si="55"/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 t="shared" si="56"/>
        <v>2142.8571428571427</v>
      </c>
      <c r="I657" s="6">
        <f t="shared" si="55"/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79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 t="shared" si="56"/>
        <v>2142.8571428571427</v>
      </c>
      <c r="I658" s="6">
        <f t="shared" si="55"/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79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 t="shared" si="56"/>
        <v>2142.8571428571427</v>
      </c>
      <c r="I659" s="6">
        <f t="shared" si="55"/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 t="shared" si="56"/>
        <v>2142.8571428571427</v>
      </c>
      <c r="I660" s="6">
        <f t="shared" si="55"/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 t="shared" si="56"/>
        <v>2142.8571428571427</v>
      </c>
      <c r="I661" s="6">
        <f t="shared" si="55"/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 t="shared" si="55"/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 t="shared" si="56"/>
        <v>2142.8571428571427</v>
      </c>
      <c r="I663" s="6">
        <f t="shared" si="55"/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 t="shared" si="55"/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 t="shared" si="55"/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79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 t="shared" si="55"/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79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 t="shared" si="55"/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 t="shared" si="55"/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 t="shared" si="55"/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 t="shared" si="55"/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 t="shared" si="55"/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x14ac:dyDescent="0.25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/>
      <c r="I672" s="6">
        <f t="shared" si="55"/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x14ac:dyDescent="0.25">
      <c r="A673" s="4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 t="shared" si="55"/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7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x14ac:dyDescent="0.25">
      <c r="A674" s="4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/>
      <c r="I674" s="6">
        <f t="shared" si="55"/>
        <v>312.39892183288407</v>
      </c>
      <c r="J674" s="2" t="s">
        <v>2262</v>
      </c>
      <c r="K674" s="2">
        <v>11.13</v>
      </c>
      <c r="L674" s="2" t="s">
        <v>693</v>
      </c>
      <c r="M674" s="2" t="s">
        <v>1264</v>
      </c>
      <c r="N674" s="2" t="s">
        <v>2263</v>
      </c>
      <c r="O674" s="56">
        <v>3477</v>
      </c>
      <c r="P674" s="2" t="s">
        <v>1066</v>
      </c>
      <c r="Q674" s="2" t="s">
        <v>1206</v>
      </c>
      <c r="R674" s="2" t="s">
        <v>2264</v>
      </c>
      <c r="S674" s="2" t="s">
        <v>737</v>
      </c>
      <c r="T674" s="2" t="s">
        <v>2265</v>
      </c>
      <c r="U674" s="2" t="s">
        <v>1586</v>
      </c>
      <c r="V674" s="2" t="s">
        <v>2266</v>
      </c>
      <c r="W674" s="2" t="s">
        <v>2267</v>
      </c>
      <c r="X674" s="2" t="s">
        <v>2268</v>
      </c>
      <c r="Y674" s="2" t="s">
        <v>2269</v>
      </c>
      <c r="Z674" s="2" t="s">
        <v>800</v>
      </c>
      <c r="AA674" s="2" t="s">
        <v>548</v>
      </c>
      <c r="AB674" s="2" t="s">
        <v>2270</v>
      </c>
    </row>
    <row r="675" spans="1:28" x14ac:dyDescent="0.25">
      <c r="A675" s="4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/>
      <c r="I675" s="6">
        <f t="shared" si="55"/>
        <v>219.91017964071858</v>
      </c>
      <c r="J675" s="2" t="s">
        <v>954</v>
      </c>
      <c r="K675" s="2">
        <v>6.68</v>
      </c>
      <c r="L675" s="2" t="s">
        <v>1696</v>
      </c>
      <c r="M675" s="2" t="s">
        <v>2271</v>
      </c>
      <c r="N675" s="2" t="s">
        <v>2272</v>
      </c>
      <c r="O675" s="56">
        <v>1469</v>
      </c>
      <c r="P675" s="2" t="s">
        <v>2273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2274</v>
      </c>
      <c r="W675" s="2" t="s">
        <v>2275</v>
      </c>
      <c r="X675" s="2" t="s">
        <v>2276</v>
      </c>
      <c r="Y675" s="2" t="s">
        <v>2277</v>
      </c>
      <c r="Z675" s="2" t="s">
        <v>998</v>
      </c>
      <c r="AA675" s="2" t="s">
        <v>548</v>
      </c>
      <c r="AB675" s="2" t="s">
        <v>2278</v>
      </c>
    </row>
    <row r="676" spans="1:28" x14ac:dyDescent="0.25">
      <c r="A676" s="4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/>
      <c r="I676" s="6">
        <f t="shared" si="55"/>
        <v>303.23014804845224</v>
      </c>
      <c r="J676" s="2" t="s">
        <v>2279</v>
      </c>
      <c r="K676" s="2">
        <v>7.43</v>
      </c>
      <c r="L676" s="2" t="s">
        <v>618</v>
      </c>
      <c r="M676" s="2" t="s">
        <v>2280</v>
      </c>
      <c r="N676" s="2" t="s">
        <v>2281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2282</v>
      </c>
      <c r="W676" s="2" t="s">
        <v>2283</v>
      </c>
      <c r="X676" s="2" t="s">
        <v>2284</v>
      </c>
      <c r="Y676" s="2" t="s">
        <v>2285</v>
      </c>
      <c r="Z676" s="2" t="s">
        <v>548</v>
      </c>
      <c r="AA676" s="2" t="s">
        <v>548</v>
      </c>
      <c r="AB676" s="2" t="s">
        <v>2228</v>
      </c>
    </row>
    <row r="677" spans="1:28" x14ac:dyDescent="0.25">
      <c r="A677" s="4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/>
      <c r="I677" s="6">
        <f t="shared" si="55"/>
        <v>511.89979123173276</v>
      </c>
      <c r="J677" s="2" t="s">
        <v>2286</v>
      </c>
      <c r="K677" s="2">
        <v>4.79</v>
      </c>
      <c r="L677" s="2" t="s">
        <v>2287</v>
      </c>
      <c r="M677" s="2" t="s">
        <v>2288</v>
      </c>
      <c r="N677" s="2" t="s">
        <v>2289</v>
      </c>
      <c r="O677" s="56">
        <v>2452</v>
      </c>
      <c r="P677" s="2" t="s">
        <v>713</v>
      </c>
      <c r="Q677" s="2" t="s">
        <v>2290</v>
      </c>
      <c r="R677" s="2" t="s">
        <v>1690</v>
      </c>
      <c r="S677" s="2" t="s">
        <v>1797</v>
      </c>
      <c r="T677" s="2" t="s">
        <v>2291</v>
      </c>
      <c r="U677" s="2" t="s">
        <v>2292</v>
      </c>
      <c r="V677" s="2" t="s">
        <v>2293</v>
      </c>
      <c r="W677" s="2" t="s">
        <v>2294</v>
      </c>
      <c r="X677" s="2" t="s">
        <v>2295</v>
      </c>
      <c r="Y677" s="2" t="s">
        <v>2296</v>
      </c>
      <c r="Z677" s="2" t="s">
        <v>548</v>
      </c>
      <c r="AA677" s="2" t="s">
        <v>548</v>
      </c>
      <c r="AB677" s="2" t="s">
        <v>2238</v>
      </c>
    </row>
    <row r="678" spans="1:28" x14ac:dyDescent="0.25">
      <c r="A678" s="4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/>
      <c r="I678" s="6">
        <f t="shared" si="55"/>
        <v>499.40119760479047</v>
      </c>
      <c r="J678" s="2" t="s">
        <v>1581</v>
      </c>
      <c r="K678" s="2">
        <v>5.01</v>
      </c>
      <c r="L678" s="2" t="s">
        <v>2297</v>
      </c>
      <c r="M678" s="2" t="s">
        <v>2298</v>
      </c>
      <c r="N678" s="2" t="s">
        <v>2299</v>
      </c>
      <c r="O678" s="56">
        <v>2502</v>
      </c>
      <c r="P678" s="2" t="s">
        <v>2300</v>
      </c>
      <c r="Q678" s="2" t="s">
        <v>2301</v>
      </c>
      <c r="R678" s="2" t="s">
        <v>974</v>
      </c>
      <c r="S678" s="2" t="s">
        <v>2017</v>
      </c>
      <c r="T678" s="2" t="s">
        <v>2302</v>
      </c>
      <c r="U678" s="2" t="s">
        <v>1168</v>
      </c>
      <c r="V678" s="2" t="s">
        <v>2303</v>
      </c>
      <c r="W678" s="2" t="s">
        <v>2304</v>
      </c>
      <c r="X678" s="2" t="s">
        <v>2305</v>
      </c>
      <c r="Y678" s="2" t="s">
        <v>2306</v>
      </c>
      <c r="Z678" s="2" t="s">
        <v>649</v>
      </c>
      <c r="AA678" s="2" t="s">
        <v>548</v>
      </c>
      <c r="AB678" s="2" t="s">
        <v>2307</v>
      </c>
    </row>
    <row r="679" spans="1:28" x14ac:dyDescent="0.25">
      <c r="A679" s="4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/>
      <c r="I679" s="6">
        <f t="shared" si="55"/>
        <v>384.44444444444446</v>
      </c>
      <c r="J679" s="2" t="s">
        <v>1108</v>
      </c>
      <c r="K679" s="2">
        <v>6.3</v>
      </c>
      <c r="L679" s="2" t="s">
        <v>1321</v>
      </c>
      <c r="M679" s="2" t="s">
        <v>2308</v>
      </c>
      <c r="N679" s="2" t="s">
        <v>2309</v>
      </c>
      <c r="O679" s="56">
        <v>2422</v>
      </c>
      <c r="P679" s="2" t="s">
        <v>2007</v>
      </c>
      <c r="Q679" s="2" t="s">
        <v>2310</v>
      </c>
      <c r="R679" s="2" t="s">
        <v>2311</v>
      </c>
      <c r="S679" s="2" t="s">
        <v>712</v>
      </c>
      <c r="T679" s="2" t="s">
        <v>1957</v>
      </c>
      <c r="U679" s="2" t="s">
        <v>2106</v>
      </c>
      <c r="V679" s="2" t="s">
        <v>2312</v>
      </c>
      <c r="W679" s="2" t="s">
        <v>2313</v>
      </c>
      <c r="X679" s="2" t="s">
        <v>2314</v>
      </c>
      <c r="Y679" s="2" t="s">
        <v>2315</v>
      </c>
      <c r="Z679" s="2" t="s">
        <v>548</v>
      </c>
      <c r="AA679" s="2" t="s">
        <v>548</v>
      </c>
      <c r="AB679" s="2" t="s">
        <v>1877</v>
      </c>
    </row>
    <row r="680" spans="1:28" x14ac:dyDescent="0.25">
      <c r="A680" s="4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/>
      <c r="I680" s="6">
        <f t="shared" si="55"/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2316</v>
      </c>
      <c r="N680" s="2" t="s">
        <v>2317</v>
      </c>
      <c r="O680" s="56">
        <v>650</v>
      </c>
      <c r="P680" s="2" t="s">
        <v>2318</v>
      </c>
      <c r="Q680" s="2" t="s">
        <v>2319</v>
      </c>
      <c r="R680" s="2" t="s">
        <v>2320</v>
      </c>
      <c r="S680" s="2" t="s">
        <v>685</v>
      </c>
      <c r="T680" s="2" t="s">
        <v>1015</v>
      </c>
      <c r="U680" s="2" t="s">
        <v>2321</v>
      </c>
      <c r="V680" s="2" t="s">
        <v>2322</v>
      </c>
      <c r="W680" s="2" t="s">
        <v>2323</v>
      </c>
      <c r="X680" s="2" t="s">
        <v>2324</v>
      </c>
      <c r="Y680" s="2" t="s">
        <v>2325</v>
      </c>
      <c r="Z680" s="2" t="s">
        <v>548</v>
      </c>
      <c r="AA680" s="2" t="s">
        <v>548</v>
      </c>
      <c r="AB680" s="2" t="s">
        <v>2261</v>
      </c>
    </row>
    <row r="681" spans="1:28" x14ac:dyDescent="0.25">
      <c r="A681" s="4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 t="shared" si="55"/>
        <v>0</v>
      </c>
      <c r="J681" s="2" t="s">
        <v>2326</v>
      </c>
      <c r="K681" s="2" t="s">
        <v>45</v>
      </c>
      <c r="L681" s="2" t="s">
        <v>1255</v>
      </c>
      <c r="M681" s="2" t="s">
        <v>2327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2328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x14ac:dyDescent="0.25">
      <c r="A682" s="4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 t="shared" si="55"/>
        <v>263.42494714587735</v>
      </c>
      <c r="J682" s="2" t="s">
        <v>2329</v>
      </c>
      <c r="K682" s="2">
        <v>9.4600000000000009</v>
      </c>
      <c r="L682" s="2" t="s">
        <v>636</v>
      </c>
      <c r="M682" s="2" t="s">
        <v>2330</v>
      </c>
      <c r="N682" s="2" t="s">
        <v>2331</v>
      </c>
      <c r="O682" s="56">
        <v>2492</v>
      </c>
      <c r="P682" s="2" t="s">
        <v>706</v>
      </c>
      <c r="Q682" s="2" t="s">
        <v>2332</v>
      </c>
      <c r="R682" s="2" t="s">
        <v>1821</v>
      </c>
      <c r="S682" s="2" t="s">
        <v>839</v>
      </c>
      <c r="T682" s="2" t="s">
        <v>1183</v>
      </c>
      <c r="U682" s="2" t="s">
        <v>2333</v>
      </c>
      <c r="V682" s="2" t="s">
        <v>2334</v>
      </c>
      <c r="W682" s="2" t="s">
        <v>2335</v>
      </c>
      <c r="X682" s="2" t="s">
        <v>2336</v>
      </c>
      <c r="Y682" s="2" t="s">
        <v>2337</v>
      </c>
      <c r="Z682" s="2" t="s">
        <v>579</v>
      </c>
      <c r="AA682" s="2" t="s">
        <v>548</v>
      </c>
      <c r="AB682" s="2" t="s">
        <v>2338</v>
      </c>
    </row>
    <row r="683" spans="1:28" x14ac:dyDescent="0.25">
      <c r="A683" s="4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/>
      <c r="I683" s="6">
        <f t="shared" si="55"/>
        <v>373.32242225859244</v>
      </c>
      <c r="J683" s="2" t="s">
        <v>2339</v>
      </c>
      <c r="K683" s="2">
        <v>6.11</v>
      </c>
      <c r="L683" s="2" t="s">
        <v>734</v>
      </c>
      <c r="M683" s="2" t="s">
        <v>2340</v>
      </c>
      <c r="N683" s="2" t="s">
        <v>2341</v>
      </c>
      <c r="O683" s="56">
        <v>2281</v>
      </c>
      <c r="P683" s="2" t="s">
        <v>2342</v>
      </c>
      <c r="Q683" s="2" t="s">
        <v>1022</v>
      </c>
      <c r="R683" s="2" t="s">
        <v>2343</v>
      </c>
      <c r="S683" s="2" t="s">
        <v>685</v>
      </c>
      <c r="T683" s="2" t="s">
        <v>2344</v>
      </c>
      <c r="U683" s="2" t="s">
        <v>1917</v>
      </c>
      <c r="V683" s="2" t="s">
        <v>1359</v>
      </c>
      <c r="W683" s="2" t="s">
        <v>2345</v>
      </c>
      <c r="X683" s="2" t="s">
        <v>2346</v>
      </c>
      <c r="Y683" s="2" t="s">
        <v>2347</v>
      </c>
      <c r="Z683" s="2" t="s">
        <v>719</v>
      </c>
      <c r="AA683" s="2" t="s">
        <v>548</v>
      </c>
      <c r="AB683" s="2" t="s">
        <v>2348</v>
      </c>
    </row>
    <row r="684" spans="1:28" x14ac:dyDescent="0.25">
      <c r="A684" s="4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/>
      <c r="I684" s="6">
        <f t="shared" si="55"/>
        <v>259.73904939422181</v>
      </c>
      <c r="J684" s="2" t="s">
        <v>2349</v>
      </c>
      <c r="K684" s="2">
        <v>10.73</v>
      </c>
      <c r="L684" s="2" t="s">
        <v>706</v>
      </c>
      <c r="M684" s="2" t="s">
        <v>1717</v>
      </c>
      <c r="N684" s="2" t="s">
        <v>2350</v>
      </c>
      <c r="O684" s="56">
        <v>2787</v>
      </c>
      <c r="P684" s="2" t="s">
        <v>1996</v>
      </c>
      <c r="Q684" s="2" t="s">
        <v>2351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2352</v>
      </c>
      <c r="W684" s="2" t="s">
        <v>2353</v>
      </c>
      <c r="X684" s="2" t="s">
        <v>2354</v>
      </c>
      <c r="Y684" s="2" t="s">
        <v>2355</v>
      </c>
      <c r="Z684" s="2" t="s">
        <v>690</v>
      </c>
      <c r="AA684" s="2" t="s">
        <v>548</v>
      </c>
      <c r="AB684" s="2" t="s">
        <v>2356</v>
      </c>
    </row>
    <row r="685" spans="1:28" x14ac:dyDescent="0.25">
      <c r="A685" s="4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/>
      <c r="I685" s="6">
        <f t="shared" ref="I685:I711" si="57">IFERROR(O685/K685,)</f>
        <v>426.03550295857991</v>
      </c>
      <c r="J685" s="2" t="s">
        <v>564</v>
      </c>
      <c r="K685" s="2">
        <v>1.69</v>
      </c>
      <c r="L685" s="2" t="s">
        <v>608</v>
      </c>
      <c r="M685" s="2" t="s">
        <v>2357</v>
      </c>
      <c r="N685" s="2" t="s">
        <v>2358</v>
      </c>
      <c r="O685" s="56">
        <v>720</v>
      </c>
      <c r="P685" s="2" t="s">
        <v>1296</v>
      </c>
      <c r="Q685" s="2" t="s">
        <v>1383</v>
      </c>
      <c r="R685" s="2" t="s">
        <v>2359</v>
      </c>
      <c r="S685" s="2" t="s">
        <v>642</v>
      </c>
      <c r="T685" s="2" t="s">
        <v>2360</v>
      </c>
      <c r="U685" s="2" t="s">
        <v>2124</v>
      </c>
      <c r="V685" s="2" t="s">
        <v>2361</v>
      </c>
      <c r="W685" s="2" t="s">
        <v>2362</v>
      </c>
      <c r="X685" s="2" t="s">
        <v>2363</v>
      </c>
      <c r="Y685" s="2" t="s">
        <v>2364</v>
      </c>
      <c r="Z685" s="2" t="s">
        <v>548</v>
      </c>
      <c r="AA685" s="2" t="s">
        <v>548</v>
      </c>
      <c r="AB685" s="2" t="s">
        <v>2238</v>
      </c>
    </row>
    <row r="686" spans="1:28" x14ac:dyDescent="0.25">
      <c r="A686" s="4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/>
      <c r="I686" s="6">
        <f t="shared" si="57"/>
        <v>342.76206322795343</v>
      </c>
      <c r="J686" s="2" t="s">
        <v>2365</v>
      </c>
      <c r="K686" s="2">
        <v>6.01</v>
      </c>
      <c r="L686" s="2" t="s">
        <v>1380</v>
      </c>
      <c r="M686" s="2" t="s">
        <v>2366</v>
      </c>
      <c r="N686" s="2" t="s">
        <v>2367</v>
      </c>
      <c r="O686" s="56">
        <v>2060</v>
      </c>
      <c r="P686" s="2" t="s">
        <v>2368</v>
      </c>
      <c r="Q686" s="2" t="s">
        <v>2369</v>
      </c>
      <c r="R686" s="2" t="s">
        <v>2370</v>
      </c>
      <c r="S686" s="2" t="s">
        <v>747</v>
      </c>
      <c r="T686" s="2" t="s">
        <v>2371</v>
      </c>
      <c r="U686" s="2" t="s">
        <v>2372</v>
      </c>
      <c r="V686" s="2" t="s">
        <v>2373</v>
      </c>
      <c r="W686" s="2" t="s">
        <v>2374</v>
      </c>
      <c r="X686" s="2" t="s">
        <v>2375</v>
      </c>
      <c r="Y686" s="2" t="s">
        <v>2376</v>
      </c>
      <c r="Z686" s="2" t="s">
        <v>548</v>
      </c>
      <c r="AA686" s="2" t="s">
        <v>548</v>
      </c>
      <c r="AB686" s="2" t="s">
        <v>2307</v>
      </c>
    </row>
    <row r="687" spans="1:28" x14ac:dyDescent="0.25">
      <c r="A687" s="4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/>
      <c r="I687" s="6">
        <f t="shared" si="57"/>
        <v>298.22866344605472</v>
      </c>
      <c r="J687" s="2" t="s">
        <v>2377</v>
      </c>
      <c r="K687" s="2">
        <v>6.21</v>
      </c>
      <c r="L687" s="2" t="s">
        <v>561</v>
      </c>
      <c r="M687" s="2" t="s">
        <v>2378</v>
      </c>
      <c r="N687" s="2" t="s">
        <v>2379</v>
      </c>
      <c r="O687" s="56">
        <v>1852</v>
      </c>
      <c r="P687" s="2" t="s">
        <v>2380</v>
      </c>
      <c r="Q687" s="2" t="s">
        <v>2381</v>
      </c>
      <c r="R687" s="2" t="s">
        <v>904</v>
      </c>
      <c r="S687" s="2" t="s">
        <v>595</v>
      </c>
      <c r="T687" s="2" t="s">
        <v>2095</v>
      </c>
      <c r="U687" s="2" t="s">
        <v>2382</v>
      </c>
      <c r="V687" s="2" t="s">
        <v>2383</v>
      </c>
      <c r="W687" s="2" t="s">
        <v>2384</v>
      </c>
      <c r="X687" s="2" t="s">
        <v>2385</v>
      </c>
      <c r="Y687" s="2" t="s">
        <v>2386</v>
      </c>
      <c r="Z687" s="2" t="s">
        <v>649</v>
      </c>
      <c r="AA687" s="2" t="s">
        <v>548</v>
      </c>
      <c r="AB687" s="2" t="s">
        <v>2387</v>
      </c>
    </row>
    <row r="688" spans="1:28" x14ac:dyDescent="0.25">
      <c r="A688" s="2" t="s">
        <v>2388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/>
      <c r="I688" s="6">
        <f t="shared" si="57"/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2389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2390</v>
      </c>
      <c r="W688" s="2" t="s">
        <v>2391</v>
      </c>
      <c r="X688" s="2" t="s">
        <v>2392</v>
      </c>
      <c r="Y688" s="2" t="s">
        <v>2393</v>
      </c>
      <c r="Z688" s="2" t="s">
        <v>800</v>
      </c>
      <c r="AA688" s="2" t="s">
        <v>548</v>
      </c>
      <c r="AB688" s="2" t="s">
        <v>2394</v>
      </c>
    </row>
    <row r="689" spans="1:28" x14ac:dyDescent="0.25">
      <c r="A689" s="2" t="s">
        <v>2388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 t="shared" si="57"/>
        <v>0</v>
      </c>
      <c r="J689" s="2" t="s">
        <v>2395</v>
      </c>
      <c r="K689" s="2">
        <v>0.56999999999999995</v>
      </c>
      <c r="L689" s="2" t="s">
        <v>652</v>
      </c>
      <c r="M689" s="2" t="s">
        <v>2396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2397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 x14ac:dyDescent="0.25">
      <c r="A690" s="2" t="s">
        <v>2388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 t="shared" si="57"/>
        <v>255.10835913312692</v>
      </c>
      <c r="J690" s="2" t="s">
        <v>604</v>
      </c>
      <c r="K690" s="2">
        <v>6.46</v>
      </c>
      <c r="L690" s="2" t="s">
        <v>1117</v>
      </c>
      <c r="M690" s="2" t="s">
        <v>2398</v>
      </c>
      <c r="N690" s="2" t="s">
        <v>2399</v>
      </c>
      <c r="O690" s="56">
        <v>1648</v>
      </c>
      <c r="P690" s="2" t="s">
        <v>2400</v>
      </c>
      <c r="Q690" s="2" t="s">
        <v>2401</v>
      </c>
      <c r="R690" s="2" t="s">
        <v>1132</v>
      </c>
      <c r="S690" s="2" t="s">
        <v>1256</v>
      </c>
      <c r="T690" s="2" t="s">
        <v>2402</v>
      </c>
      <c r="U690" s="2" t="s">
        <v>1059</v>
      </c>
      <c r="V690" s="2" t="s">
        <v>2403</v>
      </c>
      <c r="W690" s="2" t="s">
        <v>2404</v>
      </c>
      <c r="X690" s="2" t="s">
        <v>2405</v>
      </c>
      <c r="Y690" s="2" t="s">
        <v>2406</v>
      </c>
      <c r="Z690" s="2" t="s">
        <v>621</v>
      </c>
      <c r="AA690" s="2" t="s">
        <v>548</v>
      </c>
      <c r="AB690" s="2" t="s">
        <v>2407</v>
      </c>
    </row>
    <row r="691" spans="1:28" x14ac:dyDescent="0.25">
      <c r="A691" s="2" t="s">
        <v>2388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9"/>
      <c r="H691" s="6"/>
      <c r="I691" s="6">
        <f t="shared" si="57"/>
        <v>376.31578947368422</v>
      </c>
      <c r="J691" s="2" t="s">
        <v>2408</v>
      </c>
      <c r="K691" s="2">
        <v>7.6</v>
      </c>
      <c r="L691" s="2" t="s">
        <v>1064</v>
      </c>
      <c r="M691" s="2" t="s">
        <v>2409</v>
      </c>
      <c r="N691" s="2" t="s">
        <v>2410</v>
      </c>
      <c r="O691" s="56">
        <v>2860</v>
      </c>
      <c r="P691" s="2" t="s">
        <v>2411</v>
      </c>
      <c r="Q691" s="2" t="s">
        <v>2412</v>
      </c>
      <c r="R691" s="2" t="s">
        <v>2413</v>
      </c>
      <c r="S691" s="2" t="s">
        <v>685</v>
      </c>
      <c r="T691" s="2" t="s">
        <v>1887</v>
      </c>
      <c r="U691" s="2" t="s">
        <v>2414</v>
      </c>
      <c r="V691" s="2" t="s">
        <v>2415</v>
      </c>
      <c r="W691" s="2" t="s">
        <v>2416</v>
      </c>
      <c r="X691" s="2" t="s">
        <v>2417</v>
      </c>
      <c r="Y691" s="2" t="s">
        <v>2418</v>
      </c>
      <c r="Z691" s="2" t="s">
        <v>652</v>
      </c>
      <c r="AA691" s="2" t="s">
        <v>548</v>
      </c>
      <c r="AB691" s="2" t="s">
        <v>2419</v>
      </c>
    </row>
    <row r="692" spans="1:28" x14ac:dyDescent="0.25">
      <c r="A692" s="2" t="s">
        <v>2388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9"/>
      <c r="H692" s="6"/>
      <c r="I692" s="6">
        <f t="shared" si="57"/>
        <v>242.88659793814435</v>
      </c>
      <c r="J692" s="2" t="s">
        <v>2420</v>
      </c>
      <c r="K692" s="2">
        <v>9.6999999999999993</v>
      </c>
      <c r="L692" s="2" t="s">
        <v>777</v>
      </c>
      <c r="M692" s="2" t="s">
        <v>2421</v>
      </c>
      <c r="N692" s="2" t="s">
        <v>2422</v>
      </c>
      <c r="O692" s="56">
        <v>2356</v>
      </c>
      <c r="P692" s="2" t="s">
        <v>2297</v>
      </c>
      <c r="Q692" s="2" t="s">
        <v>2423</v>
      </c>
      <c r="R692" s="2" t="s">
        <v>2424</v>
      </c>
      <c r="S692" s="2" t="s">
        <v>961</v>
      </c>
      <c r="T692" s="2" t="s">
        <v>1317</v>
      </c>
      <c r="U692" s="2" t="s">
        <v>2425</v>
      </c>
      <c r="V692" s="2" t="s">
        <v>2426</v>
      </c>
      <c r="W692" s="2" t="s">
        <v>2427</v>
      </c>
      <c r="X692" s="2" t="s">
        <v>2428</v>
      </c>
      <c r="Y692" s="2" t="s">
        <v>2429</v>
      </c>
      <c r="Z692" s="2" t="s">
        <v>1502</v>
      </c>
      <c r="AA692" s="2" t="s">
        <v>548</v>
      </c>
      <c r="AB692" s="2" t="s">
        <v>2430</v>
      </c>
    </row>
    <row r="693" spans="1:28" x14ac:dyDescent="0.25">
      <c r="A693" s="2" t="s">
        <v>2388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9"/>
      <c r="H693" s="6"/>
      <c r="I693" s="6">
        <f t="shared" si="57"/>
        <v>483.44155844155841</v>
      </c>
      <c r="J693" s="2" t="s">
        <v>2431</v>
      </c>
      <c r="K693" s="2">
        <v>9.24</v>
      </c>
      <c r="L693" s="2" t="s">
        <v>971</v>
      </c>
      <c r="M693" s="2" t="s">
        <v>2432</v>
      </c>
      <c r="N693" s="2" t="s">
        <v>2433</v>
      </c>
      <c r="O693" s="56">
        <v>4467</v>
      </c>
      <c r="P693" s="2" t="s">
        <v>1015</v>
      </c>
      <c r="Q693" s="2" t="s">
        <v>2434</v>
      </c>
      <c r="R693" s="2" t="s">
        <v>2435</v>
      </c>
      <c r="S693" s="2" t="s">
        <v>1415</v>
      </c>
      <c r="T693" s="2" t="s">
        <v>1338</v>
      </c>
      <c r="U693" s="2" t="s">
        <v>1076</v>
      </c>
      <c r="V693" s="2" t="s">
        <v>2436</v>
      </c>
      <c r="W693" s="2" t="s">
        <v>2437</v>
      </c>
      <c r="X693" s="2" t="s">
        <v>2438</v>
      </c>
      <c r="Y693" s="2" t="s">
        <v>2439</v>
      </c>
      <c r="Z693" s="2" t="s">
        <v>548</v>
      </c>
      <c r="AA693" s="2" t="s">
        <v>548</v>
      </c>
      <c r="AB693" s="2" t="s">
        <v>2238</v>
      </c>
    </row>
    <row r="694" spans="1:28" x14ac:dyDescent="0.25">
      <c r="A694" s="2" t="s">
        <v>2388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9"/>
      <c r="H694" s="6"/>
      <c r="I694" s="6">
        <f t="shared" si="57"/>
        <v>321.71717171717171</v>
      </c>
      <c r="J694" s="2" t="s">
        <v>2440</v>
      </c>
      <c r="K694" s="2">
        <v>5.94</v>
      </c>
      <c r="L694" s="2" t="s">
        <v>777</v>
      </c>
      <c r="M694" s="2" t="s">
        <v>1265</v>
      </c>
      <c r="N694" s="2" t="s">
        <v>2441</v>
      </c>
      <c r="O694" s="56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2442</v>
      </c>
      <c r="U694" s="2" t="s">
        <v>1384</v>
      </c>
      <c r="V694" s="2" t="s">
        <v>2443</v>
      </c>
      <c r="W694" s="2" t="s">
        <v>2444</v>
      </c>
      <c r="X694" s="2" t="s">
        <v>2445</v>
      </c>
      <c r="Y694" s="2" t="s">
        <v>2446</v>
      </c>
      <c r="Z694" s="2" t="s">
        <v>649</v>
      </c>
      <c r="AA694" s="2" t="s">
        <v>548</v>
      </c>
      <c r="AB694" s="2" t="s">
        <v>2447</v>
      </c>
    </row>
    <row r="695" spans="1:28" x14ac:dyDescent="0.25">
      <c r="A695" s="2" t="s">
        <v>2388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9"/>
      <c r="H695" s="6"/>
      <c r="I695" s="6">
        <f t="shared" si="57"/>
        <v>291.02749638205501</v>
      </c>
      <c r="J695" s="2" t="s">
        <v>2448</v>
      </c>
      <c r="K695" s="2">
        <v>6.91</v>
      </c>
      <c r="L695" s="2" t="s">
        <v>756</v>
      </c>
      <c r="M695" s="2" t="s">
        <v>2449</v>
      </c>
      <c r="N695" s="2" t="s">
        <v>2450</v>
      </c>
      <c r="O695" s="56">
        <v>2011</v>
      </c>
      <c r="P695" s="2" t="s">
        <v>2007</v>
      </c>
      <c r="Q695" s="2" t="s">
        <v>1110</v>
      </c>
      <c r="R695" s="2" t="s">
        <v>2451</v>
      </c>
      <c r="S695" s="2" t="s">
        <v>961</v>
      </c>
      <c r="T695" s="2" t="s">
        <v>839</v>
      </c>
      <c r="U695" s="2" t="s">
        <v>2452</v>
      </c>
      <c r="V695" s="2" t="s">
        <v>2453</v>
      </c>
      <c r="W695" s="2" t="s">
        <v>2454</v>
      </c>
      <c r="X695" s="2" t="s">
        <v>2455</v>
      </c>
      <c r="Y695" s="2" t="s">
        <v>2456</v>
      </c>
      <c r="Z695" s="2" t="s">
        <v>548</v>
      </c>
      <c r="AA695" s="2" t="s">
        <v>548</v>
      </c>
      <c r="AB695" s="2" t="s">
        <v>2387</v>
      </c>
    </row>
    <row r="696" spans="1:28" x14ac:dyDescent="0.25">
      <c r="A696" s="2" t="s">
        <v>2457</v>
      </c>
      <c r="B696" s="8" t="s">
        <v>2254</v>
      </c>
      <c r="C696" s="8" t="s">
        <v>36</v>
      </c>
      <c r="D696" s="8" t="s">
        <v>39</v>
      </c>
      <c r="E696" s="8" t="s">
        <v>47</v>
      </c>
      <c r="F696" s="13"/>
      <c r="G696" s="59"/>
      <c r="H696" s="6"/>
      <c r="I696" s="6">
        <f t="shared" si="57"/>
        <v>199.31972789115648</v>
      </c>
      <c r="J696" s="2" t="s">
        <v>721</v>
      </c>
      <c r="K696" s="2">
        <v>7.35</v>
      </c>
      <c r="L696" s="2" t="s">
        <v>585</v>
      </c>
      <c r="M696" s="2" t="s">
        <v>2458</v>
      </c>
      <c r="N696" s="2" t="s">
        <v>2459</v>
      </c>
      <c r="O696" s="56">
        <v>1465</v>
      </c>
      <c r="P696" s="2" t="s">
        <v>2460</v>
      </c>
      <c r="Q696" s="2" t="s">
        <v>2461</v>
      </c>
      <c r="R696" s="2" t="s">
        <v>846</v>
      </c>
      <c r="S696" s="2" t="s">
        <v>595</v>
      </c>
      <c r="T696" s="2" t="s">
        <v>903</v>
      </c>
      <c r="U696" s="2" t="s">
        <v>2139</v>
      </c>
      <c r="V696" s="2" t="s">
        <v>1843</v>
      </c>
      <c r="W696" s="2" t="s">
        <v>2462</v>
      </c>
      <c r="X696" s="2" t="s">
        <v>2463</v>
      </c>
      <c r="Y696" s="2" t="s">
        <v>2464</v>
      </c>
      <c r="Z696" s="2" t="s">
        <v>579</v>
      </c>
      <c r="AA696" s="2" t="s">
        <v>548</v>
      </c>
      <c r="AB696" s="2" t="s">
        <v>2465</v>
      </c>
    </row>
    <row r="697" spans="1:28" x14ac:dyDescent="0.25">
      <c r="A697" s="2" t="s">
        <v>2457</v>
      </c>
      <c r="B697" s="8" t="s">
        <v>55</v>
      </c>
      <c r="C697" s="8" t="s">
        <v>56</v>
      </c>
      <c r="D697" s="8" t="s">
        <v>43</v>
      </c>
      <c r="E697" s="8" t="s">
        <v>47</v>
      </c>
      <c r="F697" s="8"/>
      <c r="G697" s="8" t="s">
        <v>146</v>
      </c>
      <c r="H697" s="6"/>
      <c r="I697" s="6">
        <f t="shared" si="57"/>
        <v>0</v>
      </c>
      <c r="J697" s="2" t="s">
        <v>2466</v>
      </c>
      <c r="K697" s="2" t="s">
        <v>2467</v>
      </c>
      <c r="L697" s="2" t="s">
        <v>1310</v>
      </c>
      <c r="M697" s="2" t="s">
        <v>2468</v>
      </c>
      <c r="N697" s="2" t="s">
        <v>45</v>
      </c>
      <c r="O697" s="56" t="s">
        <v>45</v>
      </c>
      <c r="P697" s="2" t="s">
        <v>45</v>
      </c>
      <c r="Q697" s="2" t="s">
        <v>45</v>
      </c>
      <c r="R697" s="2" t="s">
        <v>595</v>
      </c>
      <c r="S697" s="2" t="s">
        <v>585</v>
      </c>
      <c r="T697" s="2" t="s">
        <v>2469</v>
      </c>
      <c r="U697" s="2" t="s">
        <v>749</v>
      </c>
      <c r="V697" s="2" t="s">
        <v>2470</v>
      </c>
      <c r="W697" s="2" t="s">
        <v>2471</v>
      </c>
      <c r="X697" s="2" t="s">
        <v>45</v>
      </c>
      <c r="Y697" s="2" t="s">
        <v>45</v>
      </c>
      <c r="Z697" s="2" t="s">
        <v>548</v>
      </c>
      <c r="AA697" s="2" t="s">
        <v>45</v>
      </c>
      <c r="AB697" s="2" t="s">
        <v>883</v>
      </c>
    </row>
    <row r="698" spans="1:28" x14ac:dyDescent="0.25">
      <c r="A698" s="2" t="s">
        <v>2457</v>
      </c>
      <c r="B698" s="8" t="s">
        <v>2254</v>
      </c>
      <c r="C698" s="8" t="s">
        <v>36</v>
      </c>
      <c r="D698" s="8" t="s">
        <v>67</v>
      </c>
      <c r="E698" s="8" t="s">
        <v>61</v>
      </c>
      <c r="F698" s="13"/>
      <c r="G698" s="59"/>
      <c r="H698" s="6"/>
      <c r="I698" s="6">
        <f t="shared" si="57"/>
        <v>371.18110236220474</v>
      </c>
      <c r="J698" s="2" t="s">
        <v>2472</v>
      </c>
      <c r="K698" s="2">
        <v>6.35</v>
      </c>
      <c r="L698" s="2" t="s">
        <v>877</v>
      </c>
      <c r="M698" s="2" t="s">
        <v>2473</v>
      </c>
      <c r="N698" s="2" t="s">
        <v>2474</v>
      </c>
      <c r="O698" s="56">
        <v>2357</v>
      </c>
      <c r="P698" s="2" t="s">
        <v>2475</v>
      </c>
      <c r="Q698" s="2" t="s">
        <v>2476</v>
      </c>
      <c r="R698" s="2" t="s">
        <v>2477</v>
      </c>
      <c r="S698" s="2" t="s">
        <v>737</v>
      </c>
      <c r="T698" s="2" t="s">
        <v>2478</v>
      </c>
      <c r="U698" s="2" t="s">
        <v>1258</v>
      </c>
      <c r="V698" s="2" t="s">
        <v>2479</v>
      </c>
      <c r="W698" s="2" t="s">
        <v>2480</v>
      </c>
      <c r="X698" s="2" t="s">
        <v>2481</v>
      </c>
      <c r="Y698" s="2" t="s">
        <v>2482</v>
      </c>
      <c r="Z698" s="2" t="s">
        <v>649</v>
      </c>
      <c r="AA698" s="2" t="s">
        <v>548</v>
      </c>
      <c r="AB698" s="2" t="s">
        <v>2483</v>
      </c>
    </row>
    <row r="699" spans="1:28" x14ac:dyDescent="0.25">
      <c r="A699" s="2" t="s">
        <v>2457</v>
      </c>
      <c r="B699" s="8" t="s">
        <v>2254</v>
      </c>
      <c r="C699" s="8" t="s">
        <v>36</v>
      </c>
      <c r="D699" s="8" t="s">
        <v>50</v>
      </c>
      <c r="E699" s="8" t="s">
        <v>47</v>
      </c>
      <c r="F699" s="13"/>
      <c r="G699" s="59"/>
      <c r="H699" s="6"/>
      <c r="I699" s="6">
        <f t="shared" si="57"/>
        <v>368.57962697274036</v>
      </c>
      <c r="J699" s="2" t="s">
        <v>2484</v>
      </c>
      <c r="K699" s="2">
        <v>6.97</v>
      </c>
      <c r="L699" s="2" t="s">
        <v>817</v>
      </c>
      <c r="M699" s="2" t="s">
        <v>2485</v>
      </c>
      <c r="N699" s="2" t="s">
        <v>2486</v>
      </c>
      <c r="O699" s="56">
        <v>2569</v>
      </c>
      <c r="P699" s="2" t="s">
        <v>1688</v>
      </c>
      <c r="Q699" s="2" t="s">
        <v>2487</v>
      </c>
      <c r="R699" s="2" t="s">
        <v>727</v>
      </c>
      <c r="S699" s="2" t="s">
        <v>658</v>
      </c>
      <c r="T699" s="2" t="s">
        <v>1374</v>
      </c>
      <c r="U699" s="2" t="s">
        <v>2488</v>
      </c>
      <c r="V699" s="2" t="s">
        <v>1568</v>
      </c>
      <c r="W699" s="2" t="s">
        <v>2489</v>
      </c>
      <c r="X699" s="2" t="s">
        <v>2490</v>
      </c>
      <c r="Y699" s="2" t="s">
        <v>2491</v>
      </c>
      <c r="Z699" s="2" t="s">
        <v>579</v>
      </c>
      <c r="AA699" s="2" t="s">
        <v>548</v>
      </c>
      <c r="AB699" s="2" t="s">
        <v>2492</v>
      </c>
    </row>
    <row r="700" spans="1:28" x14ac:dyDescent="0.25">
      <c r="A700" s="2" t="s">
        <v>2457</v>
      </c>
      <c r="B700" s="8" t="s">
        <v>2254</v>
      </c>
      <c r="C700" s="8" t="s">
        <v>36</v>
      </c>
      <c r="D700" s="8" t="s">
        <v>52</v>
      </c>
      <c r="E700" s="8" t="s">
        <v>47</v>
      </c>
      <c r="F700" s="13"/>
      <c r="G700" s="59"/>
      <c r="H700" s="6"/>
      <c r="I700" s="6">
        <f t="shared" si="57"/>
        <v>211.47308781869688</v>
      </c>
      <c r="J700" s="2" t="s">
        <v>2493</v>
      </c>
      <c r="K700" s="2">
        <v>7.06</v>
      </c>
      <c r="L700" s="2" t="s">
        <v>777</v>
      </c>
      <c r="M700" s="2" t="s">
        <v>807</v>
      </c>
      <c r="N700" s="2" t="s">
        <v>2494</v>
      </c>
      <c r="O700" s="56">
        <f>1943-450</f>
        <v>1493</v>
      </c>
      <c r="P700" s="2" t="s">
        <v>1031</v>
      </c>
      <c r="Q700" s="2" t="s">
        <v>2495</v>
      </c>
      <c r="R700" s="2" t="s">
        <v>845</v>
      </c>
      <c r="S700" s="2" t="s">
        <v>961</v>
      </c>
      <c r="T700" s="2" t="s">
        <v>1317</v>
      </c>
      <c r="U700" s="2" t="s">
        <v>1442</v>
      </c>
      <c r="V700" s="2" t="s">
        <v>1071</v>
      </c>
      <c r="W700" s="2" t="s">
        <v>2496</v>
      </c>
      <c r="X700" s="2" t="s">
        <v>2497</v>
      </c>
      <c r="Y700" s="2" t="s">
        <v>2498</v>
      </c>
      <c r="Z700" s="2" t="s">
        <v>602</v>
      </c>
      <c r="AA700" s="2" t="s">
        <v>548</v>
      </c>
      <c r="AB700" s="2" t="s">
        <v>2499</v>
      </c>
    </row>
    <row r="701" spans="1:28" x14ac:dyDescent="0.25">
      <c r="A701" s="2" t="s">
        <v>2457</v>
      </c>
      <c r="B701" s="8" t="s">
        <v>2254</v>
      </c>
      <c r="C701" s="8" t="s">
        <v>36</v>
      </c>
      <c r="D701" s="8" t="s">
        <v>52</v>
      </c>
      <c r="E701" s="8" t="s">
        <v>61</v>
      </c>
      <c r="F701" s="13"/>
      <c r="G701" s="59"/>
      <c r="H701" s="6"/>
      <c r="I701" s="6">
        <f t="shared" si="57"/>
        <v>0</v>
      </c>
      <c r="J701" s="2"/>
      <c r="K701" s="2"/>
      <c r="L701" s="2"/>
      <c r="M701" s="2"/>
      <c r="N701" s="2"/>
      <c r="O701" s="56">
        <f>18*25</f>
        <v>450</v>
      </c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25">
      <c r="A702" s="2" t="s">
        <v>2457</v>
      </c>
      <c r="B702" s="8" t="s">
        <v>2254</v>
      </c>
      <c r="C702" s="8" t="s">
        <v>36</v>
      </c>
      <c r="D702" s="7" t="s">
        <v>46</v>
      </c>
      <c r="E702" s="7" t="s">
        <v>47</v>
      </c>
      <c r="F702" s="13"/>
      <c r="G702" s="59"/>
      <c r="H702" s="6"/>
      <c r="I702" s="6">
        <f t="shared" si="57"/>
        <v>443.34203655352479</v>
      </c>
      <c r="J702" s="2" t="s">
        <v>2500</v>
      </c>
      <c r="K702" s="2">
        <v>11.49</v>
      </c>
      <c r="L702" s="2" t="s">
        <v>1855</v>
      </c>
      <c r="M702" s="2" t="s">
        <v>2501</v>
      </c>
      <c r="N702" s="2" t="s">
        <v>2502</v>
      </c>
      <c r="O702" s="56">
        <v>5094</v>
      </c>
      <c r="P702" s="2" t="s">
        <v>1121</v>
      </c>
      <c r="Q702" s="2" t="s">
        <v>2503</v>
      </c>
      <c r="R702" s="2" t="s">
        <v>2504</v>
      </c>
      <c r="S702" s="2" t="s">
        <v>1929</v>
      </c>
      <c r="T702" s="2" t="s">
        <v>2505</v>
      </c>
      <c r="U702" s="2" t="s">
        <v>2506</v>
      </c>
      <c r="V702" s="2" t="s">
        <v>2507</v>
      </c>
      <c r="W702" s="2" t="s">
        <v>2508</v>
      </c>
      <c r="X702" s="2" t="s">
        <v>2509</v>
      </c>
      <c r="Y702" s="2" t="s">
        <v>2510</v>
      </c>
      <c r="Z702" s="2" t="s">
        <v>800</v>
      </c>
      <c r="AA702" s="2" t="s">
        <v>548</v>
      </c>
      <c r="AB702" s="2" t="s">
        <v>2511</v>
      </c>
    </row>
    <row r="703" spans="1:28" x14ac:dyDescent="0.25">
      <c r="A703" s="2" t="s">
        <v>2457</v>
      </c>
      <c r="B703" s="8" t="s">
        <v>2254</v>
      </c>
      <c r="C703" s="8" t="s">
        <v>36</v>
      </c>
      <c r="D703" s="8" t="s">
        <v>48</v>
      </c>
      <c r="E703" s="7" t="s">
        <v>38</v>
      </c>
      <c r="F703" s="13">
        <v>3801</v>
      </c>
      <c r="G703" s="59"/>
      <c r="H703" s="6"/>
      <c r="I703" s="6">
        <f t="shared" si="57"/>
        <v>523.65887207702895</v>
      </c>
      <c r="J703" s="2" t="s">
        <v>1038</v>
      </c>
      <c r="K703" s="2">
        <v>7.27</v>
      </c>
      <c r="L703" s="2" t="s">
        <v>621</v>
      </c>
      <c r="M703" s="2" t="s">
        <v>2512</v>
      </c>
      <c r="N703" s="2" t="s">
        <v>2513</v>
      </c>
      <c r="O703" s="56">
        <v>3807</v>
      </c>
      <c r="P703" s="2" t="s">
        <v>2514</v>
      </c>
      <c r="Q703" s="2" t="s">
        <v>2515</v>
      </c>
      <c r="R703" s="2" t="s">
        <v>2516</v>
      </c>
      <c r="S703" s="2" t="s">
        <v>749</v>
      </c>
      <c r="T703" s="2" t="s">
        <v>1043</v>
      </c>
      <c r="U703" s="2" t="s">
        <v>2517</v>
      </c>
      <c r="V703" s="2" t="s">
        <v>2518</v>
      </c>
      <c r="W703" s="2" t="s">
        <v>2519</v>
      </c>
      <c r="X703" s="2" t="s">
        <v>2520</v>
      </c>
      <c r="Y703" s="2" t="s">
        <v>2521</v>
      </c>
      <c r="Z703" s="2" t="s">
        <v>800</v>
      </c>
      <c r="AA703" s="2" t="s">
        <v>548</v>
      </c>
      <c r="AB703" s="2" t="s">
        <v>2522</v>
      </c>
    </row>
    <row r="704" spans="1:28" x14ac:dyDescent="0.25">
      <c r="A704" s="2" t="s">
        <v>2457</v>
      </c>
      <c r="B704" s="8" t="s">
        <v>2254</v>
      </c>
      <c r="C704" s="8" t="s">
        <v>36</v>
      </c>
      <c r="D704" s="8" t="s">
        <v>49</v>
      </c>
      <c r="E704" s="8" t="s">
        <v>47</v>
      </c>
      <c r="F704" s="13"/>
      <c r="G704" s="59"/>
      <c r="H704" s="6"/>
      <c r="I704" s="6">
        <f t="shared" si="57"/>
        <v>430.02958579881658</v>
      </c>
      <c r="J704" s="2" t="s">
        <v>2101</v>
      </c>
      <c r="K704" s="2">
        <v>6.76</v>
      </c>
      <c r="L704" s="2" t="s">
        <v>652</v>
      </c>
      <c r="M704" s="2" t="s">
        <v>2523</v>
      </c>
      <c r="N704" s="2" t="s">
        <v>2524</v>
      </c>
      <c r="O704" s="56">
        <f>3057-150</f>
        <v>2907</v>
      </c>
      <c r="P704" s="2" t="s">
        <v>1183</v>
      </c>
      <c r="Q704" s="2" t="s">
        <v>2525</v>
      </c>
      <c r="R704" s="2" t="s">
        <v>2526</v>
      </c>
      <c r="S704" s="2" t="s">
        <v>658</v>
      </c>
      <c r="T704" s="2" t="s">
        <v>659</v>
      </c>
      <c r="U704" s="2" t="s">
        <v>1077</v>
      </c>
      <c r="V704" s="2" t="s">
        <v>2527</v>
      </c>
      <c r="W704" s="2" t="s">
        <v>2528</v>
      </c>
      <c r="X704" s="2" t="s">
        <v>2529</v>
      </c>
      <c r="Y704" s="2" t="s">
        <v>2530</v>
      </c>
      <c r="Z704" s="2" t="s">
        <v>548</v>
      </c>
      <c r="AA704" s="2" t="s">
        <v>548</v>
      </c>
      <c r="AB704" s="2" t="s">
        <v>2387</v>
      </c>
    </row>
    <row r="705" spans="1:28" x14ac:dyDescent="0.25">
      <c r="A705" s="2" t="s">
        <v>2457</v>
      </c>
      <c r="B705" s="8" t="s">
        <v>2254</v>
      </c>
      <c r="C705" s="8" t="s">
        <v>36</v>
      </c>
      <c r="D705" s="8" t="s">
        <v>49</v>
      </c>
      <c r="E705" s="8" t="s">
        <v>61</v>
      </c>
      <c r="F705" s="13"/>
      <c r="G705" s="59"/>
      <c r="H705" s="6"/>
      <c r="I705" s="6">
        <f t="shared" si="57"/>
        <v>0</v>
      </c>
      <c r="J705" s="2"/>
      <c r="K705" s="2"/>
      <c r="L705" s="2"/>
      <c r="M705" s="2"/>
      <c r="N705" s="2"/>
      <c r="O705" s="56">
        <f>6*25</f>
        <v>150</v>
      </c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25">
      <c r="A706" s="2" t="s">
        <v>2531</v>
      </c>
      <c r="B706" s="8" t="s">
        <v>2254</v>
      </c>
      <c r="C706" s="8" t="s">
        <v>36</v>
      </c>
      <c r="D706" s="8" t="s">
        <v>39</v>
      </c>
      <c r="E706" s="8" t="s">
        <v>47</v>
      </c>
      <c r="F706" s="13"/>
      <c r="G706" s="59"/>
      <c r="H706" s="6"/>
      <c r="I706" s="6">
        <f t="shared" si="57"/>
        <v>168.91891891891893</v>
      </c>
      <c r="J706" s="2" t="s">
        <v>2532</v>
      </c>
      <c r="K706" s="2">
        <v>5.92</v>
      </c>
      <c r="L706" s="2" t="s">
        <v>585</v>
      </c>
      <c r="M706" s="2" t="s">
        <v>593</v>
      </c>
      <c r="N706" s="2" t="s">
        <v>2533</v>
      </c>
      <c r="O706" s="85">
        <v>1000</v>
      </c>
      <c r="P706" s="2" t="s">
        <v>652</v>
      </c>
      <c r="Q706" s="2" t="s">
        <v>2534</v>
      </c>
      <c r="R706" s="2" t="s">
        <v>1358</v>
      </c>
      <c r="S706" s="2" t="s">
        <v>685</v>
      </c>
      <c r="T706" s="2" t="s">
        <v>1015</v>
      </c>
      <c r="U706" s="2" t="s">
        <v>2535</v>
      </c>
      <c r="V706" s="2" t="s">
        <v>2536</v>
      </c>
      <c r="W706" s="2" t="s">
        <v>2537</v>
      </c>
      <c r="X706" s="2" t="s">
        <v>2538</v>
      </c>
      <c r="Y706" s="2" t="s">
        <v>2539</v>
      </c>
      <c r="Z706" s="2" t="s">
        <v>800</v>
      </c>
      <c r="AA706" s="2" t="s">
        <v>548</v>
      </c>
      <c r="AB706" s="2" t="s">
        <v>2540</v>
      </c>
    </row>
    <row r="707" spans="1:28" x14ac:dyDescent="0.25">
      <c r="A707" s="2" t="s">
        <v>2541</v>
      </c>
      <c r="B707" s="8" t="s">
        <v>2254</v>
      </c>
      <c r="C707" s="8" t="s">
        <v>36</v>
      </c>
      <c r="D707" s="8" t="s">
        <v>39</v>
      </c>
      <c r="E707" s="8" t="s">
        <v>47</v>
      </c>
      <c r="F707" s="13"/>
      <c r="G707" s="59"/>
      <c r="H707" s="6"/>
      <c r="I707" s="6">
        <f t="shared" si="57"/>
        <v>262.9733520336606</v>
      </c>
      <c r="J707" s="2" t="s">
        <v>2542</v>
      </c>
      <c r="K707" s="2">
        <v>7.13</v>
      </c>
      <c r="L707" s="2" t="s">
        <v>955</v>
      </c>
      <c r="M707" s="2" t="s">
        <v>2543</v>
      </c>
      <c r="N707" s="2" t="s">
        <v>2035</v>
      </c>
      <c r="O707" s="85">
        <v>1875</v>
      </c>
      <c r="P707" s="2" t="s">
        <v>2544</v>
      </c>
      <c r="Q707" s="2" t="s">
        <v>2319</v>
      </c>
      <c r="R707" s="2" t="s">
        <v>1544</v>
      </c>
      <c r="S707" s="2" t="s">
        <v>839</v>
      </c>
      <c r="T707" s="2" t="s">
        <v>685</v>
      </c>
      <c r="U707" s="2" t="s">
        <v>1349</v>
      </c>
      <c r="V707" s="2" t="s">
        <v>2545</v>
      </c>
      <c r="W707" s="2" t="s">
        <v>2546</v>
      </c>
      <c r="X707" s="2" t="s">
        <v>2547</v>
      </c>
      <c r="Y707" s="2" t="s">
        <v>2548</v>
      </c>
      <c r="Z707" s="2" t="s">
        <v>800</v>
      </c>
      <c r="AA707" s="2" t="s">
        <v>548</v>
      </c>
      <c r="AB707" s="2" t="s">
        <v>2549</v>
      </c>
    </row>
    <row r="708" spans="1:28" x14ac:dyDescent="0.25">
      <c r="A708" s="2" t="s">
        <v>2531</v>
      </c>
      <c r="B708" s="8" t="s">
        <v>2254</v>
      </c>
      <c r="C708" s="8" t="s">
        <v>36</v>
      </c>
      <c r="D708" s="8" t="s">
        <v>43</v>
      </c>
      <c r="E708" s="8" t="s">
        <v>47</v>
      </c>
      <c r="F708" s="13"/>
      <c r="G708" s="59"/>
      <c r="H708" s="6"/>
      <c r="I708" s="6">
        <f t="shared" si="57"/>
        <v>0</v>
      </c>
      <c r="J708" s="2"/>
      <c r="K708" s="2"/>
      <c r="L708" s="2"/>
      <c r="M708" s="2"/>
      <c r="N708" s="2"/>
      <c r="O708" s="85">
        <v>50</v>
      </c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</row>
    <row r="709" spans="1:28" x14ac:dyDescent="0.25">
      <c r="A709" s="2" t="s">
        <v>2531</v>
      </c>
      <c r="B709" s="8" t="s">
        <v>2254</v>
      </c>
      <c r="C709" s="8" t="s">
        <v>36</v>
      </c>
      <c r="D709" s="8" t="s">
        <v>43</v>
      </c>
      <c r="E709" s="8" t="s">
        <v>61</v>
      </c>
      <c r="F709" s="13"/>
      <c r="G709" s="59"/>
      <c r="H709" s="6"/>
      <c r="I709" s="6">
        <f t="shared" si="57"/>
        <v>223.68421052631581</v>
      </c>
      <c r="J709" s="2" t="s">
        <v>1231</v>
      </c>
      <c r="K709" s="2">
        <v>3.8</v>
      </c>
      <c r="L709" s="2" t="s">
        <v>690</v>
      </c>
      <c r="M709" s="2" t="s">
        <v>1723</v>
      </c>
      <c r="N709" s="2" t="s">
        <v>45</v>
      </c>
      <c r="O709" s="85">
        <v>850</v>
      </c>
      <c r="P709" s="2" t="s">
        <v>45</v>
      </c>
      <c r="Q709" s="2" t="s">
        <v>45</v>
      </c>
      <c r="R709" s="2" t="s">
        <v>2601</v>
      </c>
      <c r="S709" s="2" t="s">
        <v>712</v>
      </c>
      <c r="T709" s="2" t="s">
        <v>771</v>
      </c>
      <c r="U709" s="2" t="s">
        <v>2602</v>
      </c>
      <c r="V709" s="2" t="s">
        <v>2603</v>
      </c>
      <c r="W709" s="2" t="s">
        <v>2604</v>
      </c>
      <c r="X709" s="2" t="s">
        <v>45</v>
      </c>
      <c r="Y709" s="2" t="s">
        <v>45</v>
      </c>
      <c r="Z709" s="2" t="s">
        <v>548</v>
      </c>
      <c r="AA709" s="2" t="s">
        <v>45</v>
      </c>
      <c r="AB709" s="2" t="s">
        <v>2605</v>
      </c>
    </row>
    <row r="710" spans="1:28" x14ac:dyDescent="0.25">
      <c r="A710" s="2" t="s">
        <v>2541</v>
      </c>
      <c r="B710" s="8" t="s">
        <v>2254</v>
      </c>
      <c r="C710" s="8" t="s">
        <v>36</v>
      </c>
      <c r="D710" s="8" t="s">
        <v>43</v>
      </c>
      <c r="E710" s="8" t="s">
        <v>61</v>
      </c>
      <c r="F710" s="13"/>
      <c r="G710" s="59"/>
      <c r="H710" s="6"/>
      <c r="I710" s="6">
        <f t="shared" si="57"/>
        <v>0</v>
      </c>
      <c r="J710" s="2"/>
      <c r="K710" s="2"/>
      <c r="L710" s="2"/>
      <c r="M710" s="2"/>
      <c r="N710" s="2"/>
      <c r="O710" s="85">
        <v>25</v>
      </c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</row>
    <row r="711" spans="1:28" x14ac:dyDescent="0.25">
      <c r="A711" s="2" t="s">
        <v>2541</v>
      </c>
      <c r="B711" s="8" t="s">
        <v>2254</v>
      </c>
      <c r="C711" s="8" t="s">
        <v>36</v>
      </c>
      <c r="D711" s="8" t="s">
        <v>43</v>
      </c>
      <c r="E711" s="8" t="s">
        <v>47</v>
      </c>
      <c r="F711" s="13"/>
      <c r="G711" s="59"/>
      <c r="H711" s="6"/>
      <c r="I711" s="6">
        <f t="shared" si="57"/>
        <v>11.261261261261261</v>
      </c>
      <c r="J711" s="2" t="s">
        <v>2606</v>
      </c>
      <c r="K711" s="2">
        <v>4.4400000000000004</v>
      </c>
      <c r="L711" s="2" t="s">
        <v>602</v>
      </c>
      <c r="M711" s="2" t="s">
        <v>2607</v>
      </c>
      <c r="N711" s="2" t="s">
        <v>45</v>
      </c>
      <c r="O711" s="85">
        <v>50</v>
      </c>
      <c r="P711" s="2" t="s">
        <v>45</v>
      </c>
      <c r="Q711" s="2" t="s">
        <v>45</v>
      </c>
      <c r="R711" s="2" t="s">
        <v>1174</v>
      </c>
      <c r="S711" s="2" t="s">
        <v>595</v>
      </c>
      <c r="T711" s="2" t="s">
        <v>839</v>
      </c>
      <c r="U711" s="2" t="s">
        <v>2608</v>
      </c>
      <c r="V711" s="2" t="s">
        <v>2609</v>
      </c>
      <c r="W711" s="2" t="s">
        <v>2610</v>
      </c>
      <c r="X711" s="2" t="s">
        <v>45</v>
      </c>
      <c r="Y711" s="2" t="s">
        <v>45</v>
      </c>
      <c r="Z711" s="2" t="s">
        <v>649</v>
      </c>
      <c r="AA711" s="2" t="s">
        <v>45</v>
      </c>
      <c r="AB711" s="2" t="s">
        <v>2605</v>
      </c>
    </row>
    <row r="712" spans="1:28" x14ac:dyDescent="0.25">
      <c r="A712" s="4"/>
      <c r="B712" s="8"/>
      <c r="C712" s="8"/>
      <c r="D712" s="7"/>
      <c r="E712" s="7"/>
      <c r="F712" s="13"/>
      <c r="G712" s="59"/>
      <c r="H712" s="6"/>
      <c r="I712" s="6"/>
      <c r="J712" s="2"/>
      <c r="K712" s="2"/>
      <c r="L712" s="2"/>
      <c r="M712" s="2"/>
      <c r="N712" s="2"/>
      <c r="O712" s="77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</row>
    <row r="713" spans="1:28" x14ac:dyDescent="0.25">
      <c r="A713" s="4"/>
      <c r="B713" s="8"/>
      <c r="C713" s="8"/>
      <c r="D713" s="7"/>
      <c r="E713" s="7"/>
      <c r="F713" s="13"/>
      <c r="G713" s="59"/>
      <c r="H713" s="6"/>
      <c r="I713" s="6"/>
      <c r="J713" s="2"/>
      <c r="K713" s="2"/>
      <c r="L713" s="2"/>
      <c r="M713" s="2"/>
      <c r="N713" s="2"/>
      <c r="O713" s="77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</row>
    <row r="714" spans="1:28" x14ac:dyDescent="0.25">
      <c r="A714" s="4"/>
      <c r="B714" s="8"/>
      <c r="C714" s="8"/>
      <c r="D714" s="7"/>
      <c r="E714" s="7"/>
      <c r="F714" s="13"/>
      <c r="G714" s="59"/>
      <c r="H714" s="6"/>
      <c r="I714" s="6"/>
      <c r="J714" s="2"/>
      <c r="K714" s="2"/>
      <c r="L714" s="2"/>
      <c r="M714" s="2"/>
      <c r="N714" s="2"/>
      <c r="O714" s="77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</row>
    <row r="715" spans="1:28" x14ac:dyDescent="0.25">
      <c r="A715" s="4"/>
      <c r="B715" s="8"/>
      <c r="C715" s="8"/>
      <c r="D715" s="7"/>
      <c r="E715" s="7"/>
      <c r="F715" s="13"/>
      <c r="G715" s="59"/>
      <c r="H715" s="6"/>
      <c r="I715" s="6"/>
      <c r="J715" s="2"/>
      <c r="K715" s="2"/>
      <c r="L715" s="2"/>
      <c r="M715" s="2"/>
      <c r="N715" s="2"/>
      <c r="O715" s="77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</row>
    <row r="716" spans="1:28" x14ac:dyDescent="0.25">
      <c r="A716" s="4"/>
      <c r="B716" s="8"/>
      <c r="C716" s="8"/>
      <c r="D716" s="7"/>
      <c r="E716" s="7"/>
      <c r="F716" s="13"/>
      <c r="G716" s="59"/>
      <c r="H716" s="6"/>
      <c r="I716" s="6"/>
      <c r="J716" s="2"/>
      <c r="K716" s="2"/>
      <c r="L716" s="2"/>
      <c r="M716" s="2"/>
      <c r="N716" s="2"/>
      <c r="O716" s="77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x14ac:dyDescent="0.25">
      <c r="A717" s="4"/>
      <c r="B717" s="8"/>
      <c r="C717" s="8"/>
      <c r="D717" s="7"/>
      <c r="E717" s="7"/>
      <c r="F717" s="13"/>
      <c r="G717" s="59"/>
      <c r="H717" s="6"/>
      <c r="I717" s="6"/>
      <c r="J717" s="2"/>
      <c r="K717" s="2"/>
      <c r="L717" s="2"/>
      <c r="M717" s="2"/>
      <c r="N717" s="2"/>
      <c r="O717" s="77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</row>
    <row r="718" spans="1:28" x14ac:dyDescent="0.25">
      <c r="A718" s="4"/>
      <c r="B718" s="8"/>
      <c r="C718" s="8"/>
      <c r="D718" s="7"/>
      <c r="E718" s="7"/>
      <c r="F718" s="13"/>
      <c r="G718" s="59"/>
      <c r="H718" s="6"/>
      <c r="I718" s="6"/>
      <c r="J718" s="2"/>
      <c r="K718" s="2"/>
      <c r="L718" s="2"/>
      <c r="M718" s="2"/>
      <c r="N718" s="2"/>
      <c r="O718" s="77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</row>
    <row r="719" spans="1:28" x14ac:dyDescent="0.25">
      <c r="A719" s="4"/>
      <c r="B719" s="8"/>
      <c r="C719" s="8"/>
      <c r="D719" s="7"/>
      <c r="E719" s="7"/>
      <c r="F719" s="13"/>
      <c r="G719" s="59"/>
      <c r="H719" s="6"/>
      <c r="I719" s="6"/>
      <c r="J719" s="2"/>
      <c r="K719" s="2"/>
      <c r="L719" s="2"/>
      <c r="M719" s="2"/>
      <c r="N719" s="2"/>
      <c r="O719" s="77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</row>
    <row r="720" spans="1:28" x14ac:dyDescent="0.25">
      <c r="A720" s="4"/>
      <c r="B720" s="8"/>
      <c r="C720" s="8"/>
      <c r="D720" s="7"/>
      <c r="E720" s="7"/>
      <c r="F720" s="13"/>
      <c r="G720" s="59"/>
      <c r="H720" s="6"/>
      <c r="I720" s="6"/>
      <c r="J720" s="2"/>
      <c r="K720" s="2"/>
      <c r="L720" s="2"/>
      <c r="M720" s="2"/>
      <c r="N720" s="2"/>
      <c r="O720" s="77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</row>
    <row r="721" spans="1:28" x14ac:dyDescent="0.25">
      <c r="A721" s="4"/>
      <c r="B721" s="8"/>
      <c r="C721" s="8"/>
      <c r="D721" s="7"/>
      <c r="E721" s="7"/>
      <c r="F721" s="13"/>
      <c r="G721" s="59"/>
      <c r="H721" s="6"/>
      <c r="I721" s="6"/>
      <c r="J721" s="2"/>
      <c r="K721" s="2"/>
      <c r="L721" s="2"/>
      <c r="M721" s="2"/>
      <c r="N721" s="2"/>
      <c r="O721" s="77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</row>
    <row r="722" spans="1:28" x14ac:dyDescent="0.25">
      <c r="A722" s="4"/>
      <c r="B722" s="8"/>
      <c r="C722" s="8"/>
      <c r="D722" s="7"/>
      <c r="E722" s="7"/>
      <c r="F722" s="13"/>
      <c r="G722" s="59"/>
      <c r="H722" s="6"/>
      <c r="I722" s="6"/>
      <c r="J722" s="2"/>
      <c r="K722" s="2"/>
      <c r="L722" s="2"/>
      <c r="M722" s="2"/>
      <c r="N722" s="2"/>
      <c r="O722" s="77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</row>
    <row r="723" spans="1:28" x14ac:dyDescent="0.25">
      <c r="A723" s="4"/>
      <c r="B723" s="8"/>
      <c r="C723" s="8"/>
      <c r="D723" s="7"/>
      <c r="E723" s="7"/>
      <c r="F723" s="13"/>
      <c r="G723" s="59"/>
      <c r="H723" s="6"/>
      <c r="I723" s="6"/>
      <c r="J723" s="2"/>
      <c r="K723" s="2"/>
      <c r="L723" s="2"/>
      <c r="M723" s="2"/>
      <c r="N723" s="2"/>
      <c r="O723" s="77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</row>
    <row r="724" spans="1:28" x14ac:dyDescent="0.25">
      <c r="A724" s="4"/>
      <c r="B724" s="8"/>
      <c r="C724" s="8"/>
      <c r="D724" s="7"/>
      <c r="E724" s="7"/>
      <c r="F724" s="13"/>
      <c r="G724" s="59"/>
      <c r="H724" s="6"/>
      <c r="I724" s="6"/>
      <c r="J724" s="2"/>
      <c r="K724" s="2"/>
      <c r="L724" s="2"/>
      <c r="M724" s="2"/>
      <c r="N724" s="2"/>
      <c r="O724" s="77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</row>
    <row r="725" spans="1:28" x14ac:dyDescent="0.25">
      <c r="A725" s="4"/>
      <c r="B725" s="8"/>
      <c r="C725" s="8"/>
      <c r="D725" s="7"/>
      <c r="E725" s="7"/>
      <c r="F725" s="13"/>
      <c r="G725" s="59"/>
      <c r="H725" s="6"/>
      <c r="I725" s="6"/>
      <c r="J725" s="2"/>
      <c r="K725" s="2"/>
      <c r="L725" s="2"/>
      <c r="M725" s="2"/>
      <c r="N725" s="2"/>
      <c r="O725" s="77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</row>
    <row r="726" spans="1:28" x14ac:dyDescent="0.25">
      <c r="A726" s="4"/>
      <c r="B726" s="8"/>
      <c r="C726" s="8"/>
      <c r="D726" s="7"/>
      <c r="E726" s="7"/>
      <c r="F726" s="13"/>
      <c r="G726" s="59"/>
      <c r="H726" s="6"/>
      <c r="I726" s="6"/>
      <c r="J726" s="2"/>
      <c r="K726" s="2"/>
      <c r="L726" s="2"/>
      <c r="M726" s="2"/>
      <c r="N726" s="2"/>
      <c r="O726" s="77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</row>
    <row r="727" spans="1:28" x14ac:dyDescent="0.25">
      <c r="A727" s="4"/>
      <c r="B727" s="8"/>
      <c r="C727" s="8"/>
      <c r="D727" s="7"/>
      <c r="E727" s="7"/>
      <c r="F727" s="13"/>
      <c r="G727" s="59"/>
      <c r="H727" s="6"/>
      <c r="I727" s="6"/>
      <c r="J727" s="2"/>
      <c r="K727" s="2"/>
      <c r="L727" s="2"/>
      <c r="M727" s="2"/>
      <c r="N727" s="2"/>
      <c r="O727" s="77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</row>
    <row r="728" spans="1:28" x14ac:dyDescent="0.25">
      <c r="A728" s="4"/>
      <c r="B728" s="8"/>
      <c r="C728" s="8"/>
      <c r="D728" s="7"/>
      <c r="E728" s="7"/>
      <c r="F728" s="13"/>
      <c r="G728" s="59"/>
      <c r="H728" s="6"/>
      <c r="I728" s="6"/>
      <c r="J728" s="2"/>
      <c r="K728" s="2"/>
      <c r="L728" s="2"/>
      <c r="M728" s="2"/>
      <c r="N728" s="2"/>
      <c r="O728" s="77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</row>
    <row r="729" spans="1:28" x14ac:dyDescent="0.25">
      <c r="A729" s="4"/>
      <c r="B729" s="8"/>
      <c r="C729" s="8"/>
      <c r="D729" s="7"/>
      <c r="E729" s="7"/>
      <c r="F729" s="13"/>
      <c r="G729" s="59"/>
      <c r="H729" s="6"/>
      <c r="I729" s="6"/>
      <c r="J729" s="2"/>
      <c r="K729" s="2"/>
      <c r="L729" s="2"/>
      <c r="M729" s="2"/>
      <c r="N729" s="2"/>
      <c r="O729" s="77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</row>
    <row r="730" spans="1:28" x14ac:dyDescent="0.25">
      <c r="A730" s="4"/>
      <c r="B730" s="8"/>
      <c r="C730" s="8"/>
      <c r="D730" s="7"/>
      <c r="E730" s="7"/>
      <c r="F730" s="13"/>
      <c r="G730" s="59"/>
      <c r="H730" s="6"/>
      <c r="I730" s="6"/>
      <c r="J730" s="2"/>
      <c r="K730" s="2"/>
      <c r="L730" s="2"/>
      <c r="M730" s="2"/>
      <c r="N730" s="2"/>
      <c r="O730" s="77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</row>
    <row r="731" spans="1:28" x14ac:dyDescent="0.25">
      <c r="A731" s="4"/>
      <c r="B731" s="8"/>
      <c r="C731" s="8"/>
      <c r="D731" s="7"/>
      <c r="E731" s="7"/>
      <c r="F731" s="13"/>
      <c r="G731" s="59"/>
      <c r="H731" s="6"/>
      <c r="I731" s="6"/>
      <c r="J731" s="2"/>
      <c r="K731" s="2"/>
      <c r="L731" s="2"/>
      <c r="M731" s="2"/>
      <c r="N731" s="2"/>
      <c r="O731" s="77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</row>
    <row r="732" spans="1:28" x14ac:dyDescent="0.25">
      <c r="A732" s="4"/>
      <c r="B732" s="8"/>
      <c r="C732" s="8"/>
      <c r="D732" s="7"/>
      <c r="E732" s="7"/>
      <c r="F732" s="13"/>
      <c r="G732" s="59"/>
      <c r="H732" s="6"/>
      <c r="I732" s="6"/>
      <c r="J732" s="2"/>
      <c r="K732" s="2"/>
      <c r="L732" s="2"/>
      <c r="M732" s="2"/>
      <c r="N732" s="2"/>
      <c r="O732" s="77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</row>
    <row r="733" spans="1:28" x14ac:dyDescent="0.25">
      <c r="A733" s="4"/>
      <c r="B733" s="8"/>
      <c r="C733" s="8"/>
      <c r="D733" s="7"/>
      <c r="E733" s="7"/>
      <c r="F733" s="13"/>
      <c r="G733" s="59"/>
      <c r="H733" s="6"/>
      <c r="I733" s="6"/>
      <c r="J733" s="2"/>
      <c r="K733" s="2"/>
      <c r="L733" s="2"/>
      <c r="M733" s="2"/>
      <c r="N733" s="2"/>
      <c r="O733" s="77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25">
      <c r="A734" s="4"/>
      <c r="B734" s="8"/>
      <c r="C734" s="8"/>
      <c r="D734" s="7"/>
      <c r="E734" s="7"/>
      <c r="F734" s="13"/>
      <c r="G734" s="59"/>
      <c r="H734" s="6"/>
      <c r="I734" s="6"/>
      <c r="J734" s="2"/>
      <c r="K734" s="2"/>
      <c r="L734" s="2"/>
      <c r="M734" s="2"/>
      <c r="N734" s="2"/>
      <c r="O734" s="77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</row>
    <row r="735" spans="1:28" x14ac:dyDescent="0.25">
      <c r="A735" s="4"/>
      <c r="B735" s="8"/>
      <c r="C735" s="8"/>
      <c r="D735" s="7"/>
      <c r="E735" s="7"/>
      <c r="F735" s="13"/>
      <c r="G735" s="59"/>
      <c r="H735" s="6"/>
      <c r="I735" s="6"/>
      <c r="J735" s="2"/>
      <c r="K735" s="2"/>
      <c r="L735" s="2"/>
      <c r="M735" s="2"/>
      <c r="N735" s="2"/>
      <c r="O735" s="77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</row>
    <row r="736" spans="1:28" x14ac:dyDescent="0.25">
      <c r="A736" s="4"/>
      <c r="B736" s="8"/>
      <c r="C736" s="8"/>
      <c r="D736" s="7"/>
      <c r="E736" s="7"/>
      <c r="F736" s="13"/>
      <c r="G736" s="59"/>
      <c r="H736" s="6"/>
      <c r="I736" s="6"/>
      <c r="J736" s="2"/>
      <c r="K736" s="2"/>
      <c r="L736" s="2"/>
      <c r="M736" s="2"/>
      <c r="N736" s="2"/>
      <c r="O736" s="77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</row>
    <row r="737" spans="1:28" x14ac:dyDescent="0.25">
      <c r="A737" s="4"/>
      <c r="B737" s="8"/>
      <c r="C737" s="8"/>
      <c r="D737" s="7"/>
      <c r="E737" s="7"/>
      <c r="F737" s="13"/>
      <c r="G737" s="59"/>
      <c r="H737" s="6"/>
      <c r="I737" s="6"/>
      <c r="J737" s="2"/>
      <c r="K737" s="2"/>
      <c r="L737" s="2"/>
      <c r="M737" s="2"/>
      <c r="N737" s="2"/>
      <c r="O737" s="77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</row>
    <row r="738" spans="1:28" x14ac:dyDescent="0.25">
      <c r="A738" s="4"/>
      <c r="B738" s="8"/>
      <c r="C738" s="8"/>
      <c r="D738" s="7"/>
      <c r="E738" s="7"/>
      <c r="F738" s="13"/>
      <c r="G738" s="59"/>
      <c r="H738" s="6"/>
      <c r="I738" s="6"/>
      <c r="J738" s="2"/>
      <c r="K738" s="2"/>
      <c r="L738" s="2"/>
      <c r="M738" s="2"/>
      <c r="N738" s="2"/>
      <c r="O738" s="77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 spans="1:28" x14ac:dyDescent="0.25">
      <c r="A739" s="4"/>
      <c r="B739" s="8"/>
      <c r="C739" s="8"/>
      <c r="D739" s="7"/>
      <c r="E739" s="7"/>
      <c r="F739" s="13"/>
      <c r="G739" s="59"/>
      <c r="H739" s="6"/>
      <c r="I739" s="6"/>
      <c r="J739" s="2"/>
      <c r="K739" s="2"/>
      <c r="L739" s="2"/>
      <c r="M739" s="2"/>
      <c r="N739" s="2"/>
      <c r="O739" s="77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 spans="1:28" x14ac:dyDescent="0.25">
      <c r="A740" s="4"/>
      <c r="B740" s="8"/>
      <c r="C740" s="8"/>
      <c r="D740" s="7"/>
      <c r="E740" s="7"/>
      <c r="F740" s="13"/>
      <c r="G740" s="59"/>
      <c r="H740" s="6"/>
      <c r="I740" s="6"/>
      <c r="J740" s="2"/>
      <c r="K740" s="2"/>
      <c r="L740" s="2"/>
      <c r="M740" s="2"/>
      <c r="N740" s="2"/>
      <c r="O740" s="77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 spans="1:28" x14ac:dyDescent="0.25">
      <c r="A741" s="4"/>
      <c r="B741" s="8"/>
      <c r="C741" s="8"/>
      <c r="D741" s="7"/>
      <c r="E741" s="7"/>
      <c r="F741" s="13"/>
      <c r="G741" s="59"/>
      <c r="H741" s="6"/>
      <c r="I741" s="6"/>
      <c r="J741" s="2"/>
      <c r="K741" s="2"/>
      <c r="L741" s="2"/>
      <c r="M741" s="2"/>
      <c r="N741" s="2"/>
      <c r="O741" s="77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 spans="1:28" x14ac:dyDescent="0.25">
      <c r="A742" s="4"/>
      <c r="B742" s="8"/>
      <c r="C742" s="8"/>
      <c r="D742" s="7"/>
      <c r="E742" s="7"/>
      <c r="F742" s="13"/>
      <c r="G742" s="59"/>
      <c r="H742" s="6"/>
      <c r="I742" s="6"/>
      <c r="J742" s="2"/>
      <c r="K742" s="2"/>
      <c r="L742" s="2"/>
      <c r="M742" s="2"/>
      <c r="N742" s="2"/>
      <c r="O742" s="77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 spans="1:28" x14ac:dyDescent="0.25">
      <c r="A743" s="4"/>
      <c r="B743" s="8"/>
      <c r="C743" s="8"/>
      <c r="D743" s="7"/>
      <c r="E743" s="7"/>
      <c r="F743" s="13"/>
      <c r="G743" s="59"/>
      <c r="H743" s="6"/>
      <c r="I743" s="6"/>
      <c r="J743" s="2"/>
      <c r="K743" s="2"/>
      <c r="L743" s="2"/>
      <c r="M743" s="2"/>
      <c r="N743" s="2"/>
      <c r="O743" s="77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 spans="1:28" x14ac:dyDescent="0.25">
      <c r="A744" s="4"/>
      <c r="B744" s="8"/>
      <c r="C744" s="8"/>
      <c r="D744" s="7"/>
      <c r="E744" s="7"/>
      <c r="F744" s="13"/>
      <c r="G744" s="59"/>
      <c r="H744" s="6"/>
      <c r="I744" s="6"/>
      <c r="J744" s="2"/>
      <c r="K744" s="2"/>
      <c r="L744" s="2"/>
      <c r="M744" s="2"/>
      <c r="N744" s="2"/>
      <c r="O744" s="77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 spans="1:28" x14ac:dyDescent="0.25">
      <c r="A745" s="4"/>
      <c r="B745" s="8"/>
      <c r="C745" s="8"/>
      <c r="D745" s="7"/>
      <c r="E745" s="7"/>
      <c r="F745" s="13"/>
      <c r="G745" s="59"/>
      <c r="H745" s="6"/>
      <c r="I745" s="6"/>
      <c r="J745" s="2"/>
      <c r="K745" s="2"/>
      <c r="L745" s="2"/>
      <c r="M745" s="2"/>
      <c r="N745" s="2"/>
      <c r="O745" s="77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 spans="1:28" x14ac:dyDescent="0.25">
      <c r="A746" s="4"/>
      <c r="B746" s="8"/>
      <c r="C746" s="8"/>
      <c r="D746" s="7"/>
      <c r="E746" s="7"/>
      <c r="F746" s="13"/>
      <c r="G746" s="59"/>
      <c r="H746" s="6"/>
      <c r="I746" s="6"/>
      <c r="J746" s="2"/>
      <c r="K746" s="2"/>
      <c r="L746" s="2"/>
      <c r="M746" s="2"/>
      <c r="N746" s="2"/>
      <c r="O746" s="77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 spans="1:28" x14ac:dyDescent="0.25">
      <c r="A747" s="4"/>
      <c r="B747" s="8"/>
      <c r="C747" s="8"/>
      <c r="D747" s="7"/>
      <c r="E747" s="7"/>
      <c r="F747" s="13"/>
      <c r="G747" s="59"/>
      <c r="H747" s="6"/>
      <c r="I747" s="6"/>
      <c r="J747" s="2"/>
      <c r="K747" s="2"/>
      <c r="L747" s="2"/>
      <c r="M747" s="2"/>
      <c r="N747" s="2"/>
      <c r="O747" s="77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 spans="1:28" x14ac:dyDescent="0.25">
      <c r="A748" s="4"/>
      <c r="B748" s="8"/>
      <c r="C748" s="8"/>
      <c r="D748" s="7"/>
      <c r="E748" s="7"/>
      <c r="F748" s="13"/>
      <c r="G748" s="59"/>
      <c r="H748" s="6"/>
      <c r="I748" s="6"/>
      <c r="J748" s="2"/>
      <c r="K748" s="2"/>
      <c r="L748" s="2"/>
      <c r="M748" s="2"/>
      <c r="N748" s="2"/>
      <c r="O748" s="77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 spans="1:28" x14ac:dyDescent="0.25">
      <c r="A749" s="4"/>
      <c r="B749" s="8"/>
      <c r="C749" s="8"/>
      <c r="D749" s="7"/>
      <c r="E749" s="7"/>
      <c r="F749" s="13"/>
      <c r="G749" s="59"/>
      <c r="H749" s="6"/>
      <c r="I749" s="6"/>
      <c r="J749" s="2"/>
      <c r="K749" s="2"/>
      <c r="L749" s="2"/>
      <c r="M749" s="2"/>
      <c r="N749" s="2"/>
      <c r="O749" s="77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 spans="1:28" x14ac:dyDescent="0.25">
      <c r="A750" s="4"/>
      <c r="B750" s="8"/>
      <c r="C750" s="8"/>
      <c r="D750" s="7"/>
      <c r="E750" s="7"/>
      <c r="F750" s="13"/>
      <c r="G750" s="59"/>
      <c r="H750" s="6"/>
      <c r="I750" s="6"/>
      <c r="J750" s="2"/>
      <c r="K750" s="2"/>
      <c r="L750" s="2"/>
      <c r="M750" s="2"/>
      <c r="N750" s="2"/>
      <c r="O750" s="77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 spans="1:28" x14ac:dyDescent="0.25">
      <c r="A751" s="4"/>
      <c r="B751" s="8"/>
      <c r="C751" s="8"/>
      <c r="D751" s="7"/>
      <c r="E751" s="7"/>
      <c r="F751" s="13"/>
      <c r="G751" s="59"/>
      <c r="H751" s="6"/>
      <c r="I751" s="6"/>
      <c r="J751" s="2"/>
      <c r="K751" s="2"/>
      <c r="L751" s="2"/>
      <c r="M751" s="2"/>
      <c r="N751" s="2"/>
      <c r="O751" s="77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 spans="1:28" x14ac:dyDescent="0.25">
      <c r="A752" s="4"/>
      <c r="B752" s="8"/>
      <c r="C752" s="8"/>
      <c r="D752" s="7"/>
      <c r="E752" s="7"/>
      <c r="F752" s="13"/>
      <c r="G752" s="59"/>
      <c r="H752" s="6"/>
      <c r="I752" s="6"/>
      <c r="J752" s="2"/>
      <c r="K752" s="2"/>
      <c r="L752" s="2"/>
      <c r="M752" s="2"/>
      <c r="N752" s="2"/>
      <c r="O752" s="77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 spans="1:28" x14ac:dyDescent="0.25">
      <c r="A753" s="4"/>
      <c r="B753" s="8"/>
      <c r="C753" s="8"/>
      <c r="D753" s="7"/>
      <c r="E753" s="7"/>
      <c r="F753" s="13"/>
      <c r="G753" s="59"/>
      <c r="H753" s="6"/>
      <c r="I753" s="6"/>
      <c r="J753" s="2"/>
      <c r="K753" s="2"/>
      <c r="L753" s="2"/>
      <c r="M753" s="2"/>
      <c r="N753" s="2"/>
      <c r="O753" s="77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 spans="1:28" x14ac:dyDescent="0.25">
      <c r="A754" s="4"/>
      <c r="B754" s="8"/>
      <c r="C754" s="8"/>
      <c r="D754" s="7"/>
      <c r="E754" s="7"/>
      <c r="F754" s="13"/>
      <c r="G754" s="59"/>
      <c r="H754" s="6"/>
      <c r="I754" s="6"/>
      <c r="J754" s="2"/>
      <c r="K754" s="2"/>
      <c r="L754" s="2"/>
      <c r="M754" s="2"/>
      <c r="N754" s="2"/>
      <c r="O754" s="77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 spans="1:28" x14ac:dyDescent="0.25">
      <c r="A755" s="4"/>
      <c r="B755" s="8"/>
      <c r="C755" s="8"/>
      <c r="D755" s="7"/>
      <c r="E755" s="7"/>
      <c r="F755" s="13"/>
      <c r="G755" s="59"/>
      <c r="H755" s="6"/>
      <c r="I755" s="6"/>
      <c r="J755" s="2"/>
      <c r="K755" s="2"/>
      <c r="L755" s="2"/>
      <c r="M755" s="2"/>
      <c r="N755" s="2"/>
      <c r="O755" s="77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 spans="1:28" x14ac:dyDescent="0.25">
      <c r="A756" s="4"/>
      <c r="B756" s="8"/>
      <c r="C756" s="8"/>
      <c r="D756" s="7"/>
      <c r="E756" s="7"/>
      <c r="F756" s="13"/>
      <c r="G756" s="59"/>
      <c r="H756" s="6"/>
      <c r="I756" s="6"/>
      <c r="J756" s="2"/>
      <c r="K756" s="2"/>
      <c r="L756" s="2"/>
      <c r="M756" s="2"/>
      <c r="N756" s="2"/>
      <c r="O756" s="77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 spans="1:28" x14ac:dyDescent="0.25">
      <c r="A757" s="4"/>
      <c r="B757" s="8"/>
      <c r="C757" s="8"/>
      <c r="D757" s="7"/>
      <c r="E757" s="7"/>
      <c r="F757" s="13"/>
      <c r="G757" s="59"/>
      <c r="H757" s="6"/>
      <c r="I757" s="6"/>
      <c r="J757" s="2"/>
      <c r="K757" s="2"/>
      <c r="L757" s="2"/>
      <c r="M757" s="2"/>
      <c r="N757" s="2"/>
      <c r="O757" s="77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 spans="1:28" x14ac:dyDescent="0.25">
      <c r="A758" s="4"/>
      <c r="B758" s="8"/>
      <c r="C758" s="8"/>
      <c r="D758" s="7"/>
      <c r="E758" s="7"/>
      <c r="F758" s="13"/>
      <c r="G758" s="59"/>
      <c r="H758" s="6"/>
      <c r="I758" s="6"/>
      <c r="J758" s="2"/>
      <c r="K758" s="2"/>
      <c r="L758" s="2"/>
      <c r="M758" s="2"/>
      <c r="N758" s="2"/>
      <c r="O758" s="77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 spans="1:28" x14ac:dyDescent="0.25">
      <c r="A759" s="4"/>
      <c r="B759" s="8"/>
      <c r="C759" s="8"/>
      <c r="D759" s="7"/>
      <c r="E759" s="7"/>
      <c r="F759" s="13"/>
      <c r="G759" s="59"/>
      <c r="H759" s="6"/>
      <c r="I759" s="6"/>
      <c r="J759" s="2"/>
      <c r="K759" s="2"/>
      <c r="L759" s="2"/>
      <c r="M759" s="2"/>
      <c r="N759" s="2"/>
      <c r="O759" s="77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4"/>
      <c r="B760" s="8"/>
      <c r="C760" s="8"/>
      <c r="D760" s="7"/>
      <c r="E760" s="7"/>
      <c r="F760" s="13"/>
      <c r="G760" s="59"/>
      <c r="H760" s="6"/>
      <c r="I760" s="6"/>
      <c r="J760" s="2"/>
      <c r="K760" s="2"/>
      <c r="L760" s="2"/>
      <c r="M760" s="2"/>
      <c r="N760" s="2"/>
      <c r="O760" s="77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 spans="1:28" x14ac:dyDescent="0.25">
      <c r="A761" s="4"/>
      <c r="B761" s="8"/>
      <c r="C761" s="8"/>
      <c r="D761" s="7"/>
      <c r="E761" s="7"/>
      <c r="F761" s="13"/>
      <c r="G761" s="59"/>
      <c r="H761" s="6"/>
      <c r="I761" s="6"/>
      <c r="J761" s="2"/>
      <c r="K761" s="2"/>
      <c r="L761" s="2"/>
      <c r="M761" s="2"/>
      <c r="N761" s="2"/>
      <c r="O761" s="77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 spans="1:28" x14ac:dyDescent="0.25">
      <c r="A762" s="4"/>
      <c r="B762" s="8"/>
      <c r="C762" s="8"/>
      <c r="D762" s="7"/>
      <c r="E762" s="7"/>
      <c r="F762" s="13"/>
      <c r="G762" s="59"/>
      <c r="H762" s="6"/>
      <c r="I762" s="6"/>
      <c r="J762" s="2"/>
      <c r="K762" s="2"/>
      <c r="L762" s="2"/>
      <c r="M762" s="2"/>
      <c r="N762" s="2"/>
      <c r="O762" s="77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 spans="1:28" x14ac:dyDescent="0.25">
      <c r="A763" s="4"/>
      <c r="B763" s="8"/>
      <c r="C763" s="8"/>
      <c r="D763" s="7"/>
      <c r="E763" s="7"/>
      <c r="F763" s="13"/>
      <c r="G763" s="59"/>
      <c r="H763" s="6"/>
      <c r="I763" s="6"/>
      <c r="J763" s="2"/>
      <c r="K763" s="2"/>
      <c r="L763" s="2"/>
      <c r="M763" s="2"/>
      <c r="N763" s="2"/>
      <c r="O763" s="77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 spans="1:28" x14ac:dyDescent="0.25">
      <c r="A764" s="4"/>
      <c r="B764" s="8"/>
      <c r="C764" s="8"/>
      <c r="D764" s="7"/>
      <c r="E764" s="7"/>
      <c r="F764" s="13"/>
      <c r="G764" s="59"/>
      <c r="H764" s="6"/>
      <c r="I764" s="6"/>
      <c r="J764" s="2"/>
      <c r="K764" s="2"/>
      <c r="L764" s="2"/>
      <c r="M764" s="2"/>
      <c r="N764" s="2"/>
      <c r="O764" s="77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25">
      <c r="A765" s="4"/>
      <c r="B765" s="8"/>
      <c r="C765" s="8"/>
      <c r="D765" s="7"/>
      <c r="E765" s="7"/>
      <c r="F765" s="13"/>
      <c r="G765" s="59"/>
      <c r="H765" s="6"/>
      <c r="I765" s="6"/>
      <c r="J765" s="2"/>
      <c r="K765" s="2"/>
      <c r="L765" s="2"/>
      <c r="M765" s="2"/>
      <c r="N765" s="2"/>
      <c r="O765" s="77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 spans="1:28" x14ac:dyDescent="0.25">
      <c r="A766" s="4"/>
      <c r="B766" s="8"/>
      <c r="C766" s="8"/>
      <c r="D766" s="7"/>
      <c r="E766" s="7"/>
      <c r="F766" s="13"/>
      <c r="G766" s="59"/>
      <c r="H766" s="6"/>
      <c r="I766" s="6"/>
      <c r="J766" s="2"/>
      <c r="K766" s="2"/>
      <c r="L766" s="2"/>
      <c r="M766" s="2"/>
      <c r="N766" s="2"/>
      <c r="O766" s="77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 spans="1:28" x14ac:dyDescent="0.25">
      <c r="A767" s="4"/>
      <c r="B767" s="8"/>
      <c r="C767" s="8"/>
      <c r="D767" s="7"/>
      <c r="E767" s="7"/>
      <c r="F767" s="13"/>
      <c r="G767" s="59"/>
      <c r="H767" s="6"/>
      <c r="I767" s="6"/>
      <c r="J767" s="2"/>
      <c r="K767" s="2"/>
      <c r="L767" s="2"/>
      <c r="M767" s="2"/>
      <c r="N767" s="2"/>
      <c r="O767" s="77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 spans="1:28" x14ac:dyDescent="0.25">
      <c r="A768" s="4"/>
      <c r="B768" s="8"/>
      <c r="C768" s="8"/>
      <c r="D768" s="7"/>
      <c r="E768" s="7"/>
      <c r="F768" s="13"/>
      <c r="G768" s="59"/>
      <c r="H768" s="6"/>
      <c r="I768" s="6"/>
      <c r="J768" s="2"/>
      <c r="K768" s="2"/>
      <c r="L768" s="2"/>
      <c r="M768" s="2"/>
      <c r="N768" s="2"/>
      <c r="O768" s="77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spans="1:28" x14ac:dyDescent="0.25">
      <c r="A769" s="4"/>
      <c r="B769" s="8"/>
      <c r="C769" s="8"/>
      <c r="D769" s="7"/>
      <c r="E769" s="7"/>
      <c r="F769" s="13"/>
      <c r="G769" s="59"/>
      <c r="H769" s="6"/>
      <c r="I769" s="6"/>
      <c r="J769" s="2"/>
      <c r="K769" s="2"/>
      <c r="L769" s="2"/>
      <c r="M769" s="2"/>
      <c r="N769" s="2"/>
      <c r="O769" s="77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spans="1:28" x14ac:dyDescent="0.25">
      <c r="A770" s="4"/>
      <c r="B770" s="8"/>
      <c r="C770" s="8"/>
      <c r="D770" s="7"/>
      <c r="E770" s="7"/>
      <c r="F770" s="13"/>
      <c r="G770" s="59"/>
      <c r="H770" s="6"/>
      <c r="I770" s="6"/>
      <c r="J770" s="2"/>
      <c r="K770" s="2"/>
      <c r="L770" s="2"/>
      <c r="M770" s="2"/>
      <c r="N770" s="2"/>
      <c r="O770" s="77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spans="1:28" x14ac:dyDescent="0.25">
      <c r="A771" s="4"/>
      <c r="B771" s="8"/>
      <c r="C771" s="8"/>
      <c r="D771" s="7"/>
      <c r="E771" s="7"/>
      <c r="F771" s="13"/>
      <c r="G771" s="59"/>
      <c r="H771" s="6"/>
      <c r="I771" s="6"/>
      <c r="J771" s="2"/>
      <c r="K771" s="2"/>
      <c r="L771" s="2"/>
      <c r="M771" s="2"/>
      <c r="N771" s="2"/>
      <c r="O771" s="77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spans="1:28" x14ac:dyDescent="0.25">
      <c r="A772" s="4"/>
      <c r="B772" s="8"/>
      <c r="C772" s="8"/>
      <c r="D772" s="7"/>
      <c r="E772" s="7"/>
      <c r="F772" s="13"/>
      <c r="G772" s="59"/>
      <c r="H772" s="6"/>
      <c r="I772" s="6"/>
      <c r="J772" s="2"/>
      <c r="K772" s="2"/>
      <c r="L772" s="2"/>
      <c r="M772" s="2"/>
      <c r="N772" s="2"/>
      <c r="O772" s="77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spans="1:28" x14ac:dyDescent="0.25">
      <c r="A773" s="4"/>
      <c r="B773" s="8"/>
      <c r="C773" s="8"/>
      <c r="D773" s="7"/>
      <c r="E773" s="7"/>
      <c r="F773" s="13"/>
      <c r="G773" s="59"/>
      <c r="H773" s="6"/>
      <c r="I773" s="6"/>
      <c r="J773" s="2"/>
      <c r="K773" s="2"/>
      <c r="L773" s="2"/>
      <c r="M773" s="2"/>
      <c r="N773" s="2"/>
      <c r="O773" s="77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spans="1:28" x14ac:dyDescent="0.25">
      <c r="A774" s="4"/>
      <c r="B774" s="8"/>
      <c r="C774" s="8"/>
      <c r="D774" s="7"/>
      <c r="E774" s="7"/>
      <c r="F774" s="13"/>
      <c r="G774" s="59"/>
      <c r="H774" s="6"/>
      <c r="I774" s="6"/>
      <c r="J774" s="2"/>
      <c r="K774" s="2"/>
      <c r="L774" s="2"/>
      <c r="M774" s="2"/>
      <c r="N774" s="2"/>
      <c r="O774" s="77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spans="1:28" x14ac:dyDescent="0.25">
      <c r="A775" s="4"/>
      <c r="B775" s="8"/>
      <c r="C775" s="8"/>
      <c r="D775" s="7"/>
      <c r="E775" s="7"/>
      <c r="F775" s="13"/>
      <c r="G775" s="59"/>
      <c r="H775" s="6"/>
      <c r="I775" s="6"/>
      <c r="J775" s="2"/>
      <c r="K775" s="2"/>
      <c r="L775" s="2"/>
      <c r="M775" s="2"/>
      <c r="N775" s="2"/>
      <c r="O775" s="77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spans="1:28" x14ac:dyDescent="0.25">
      <c r="A776" s="4"/>
      <c r="B776" s="8"/>
      <c r="C776" s="8"/>
      <c r="D776" s="7"/>
      <c r="E776" s="7"/>
      <c r="F776" s="13"/>
      <c r="G776" s="59"/>
      <c r="H776" s="6"/>
      <c r="I776" s="6"/>
      <c r="J776" s="2"/>
      <c r="K776" s="2"/>
      <c r="L776" s="2"/>
      <c r="M776" s="2"/>
      <c r="N776" s="2"/>
      <c r="O776" s="77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spans="1:28" x14ac:dyDescent="0.25">
      <c r="A777" s="4"/>
      <c r="B777" s="8"/>
      <c r="C777" s="8"/>
      <c r="D777" s="7"/>
      <c r="E777" s="7"/>
      <c r="F777" s="13"/>
      <c r="G777" s="59"/>
      <c r="H777" s="6"/>
      <c r="I777" s="6"/>
      <c r="J777" s="2"/>
      <c r="K777" s="2"/>
      <c r="L777" s="2"/>
      <c r="M777" s="2"/>
      <c r="N777" s="2"/>
      <c r="O777" s="77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spans="1:28" x14ac:dyDescent="0.25">
      <c r="A778" s="4"/>
      <c r="B778" s="8"/>
      <c r="C778" s="8"/>
      <c r="D778" s="7"/>
      <c r="E778" s="7"/>
      <c r="F778" s="13"/>
      <c r="G778" s="59"/>
      <c r="H778" s="6"/>
      <c r="I778" s="6"/>
      <c r="J778" s="2"/>
      <c r="K778" s="2"/>
      <c r="L778" s="2"/>
      <c r="M778" s="2"/>
      <c r="N778" s="2"/>
      <c r="O778" s="77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25">
      <c r="A779" s="4"/>
      <c r="B779" s="8"/>
      <c r="C779" s="8"/>
      <c r="D779" s="7"/>
      <c r="E779" s="7"/>
      <c r="F779" s="13"/>
      <c r="G779" s="59"/>
      <c r="H779" s="6"/>
      <c r="I779" s="6"/>
      <c r="J779" s="2"/>
      <c r="K779" s="2"/>
      <c r="L779" s="2"/>
      <c r="M779" s="2"/>
      <c r="N779" s="2"/>
      <c r="O779" s="77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spans="1:28" x14ac:dyDescent="0.25">
      <c r="A780" s="4"/>
      <c r="B780" s="8"/>
      <c r="C780" s="8"/>
      <c r="D780" s="7"/>
      <c r="E780" s="7"/>
      <c r="F780" s="13"/>
      <c r="G780" s="59"/>
      <c r="H780" s="6"/>
      <c r="I780" s="6"/>
      <c r="J780" s="2"/>
      <c r="K780" s="2"/>
      <c r="L780" s="2"/>
      <c r="M780" s="2"/>
      <c r="N780" s="2"/>
      <c r="O780" s="77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spans="1:28" x14ac:dyDescent="0.25">
      <c r="A781" s="4"/>
      <c r="B781" s="8"/>
      <c r="C781" s="8"/>
      <c r="D781" s="7"/>
      <c r="E781" s="7"/>
      <c r="F781" s="13"/>
      <c r="G781" s="59"/>
      <c r="H781" s="6"/>
      <c r="I781" s="6"/>
      <c r="J781" s="2"/>
      <c r="K781" s="2"/>
      <c r="L781" s="2"/>
      <c r="M781" s="2"/>
      <c r="N781" s="2"/>
      <c r="O781" s="77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spans="1:28" x14ac:dyDescent="0.25">
      <c r="A782" s="4"/>
      <c r="B782" s="8"/>
      <c r="C782" s="8"/>
      <c r="D782" s="7"/>
      <c r="E782" s="7"/>
      <c r="F782" s="13"/>
      <c r="G782" s="59"/>
      <c r="H782" s="6"/>
      <c r="I782" s="6"/>
      <c r="J782" s="2"/>
      <c r="K782" s="2"/>
      <c r="L782" s="2"/>
      <c r="M782" s="2"/>
      <c r="N782" s="2"/>
      <c r="O782" s="77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spans="1:28" x14ac:dyDescent="0.25">
      <c r="A783" s="4"/>
      <c r="B783" s="8"/>
      <c r="C783" s="8"/>
      <c r="D783" s="7"/>
      <c r="E783" s="7"/>
      <c r="F783" s="13"/>
      <c r="G783" s="59"/>
      <c r="H783" s="6"/>
      <c r="I783" s="6"/>
      <c r="J783" s="2"/>
      <c r="K783" s="2"/>
      <c r="L783" s="2"/>
      <c r="M783" s="2"/>
      <c r="N783" s="2"/>
      <c r="O783" s="77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spans="1:28" x14ac:dyDescent="0.25">
      <c r="A784" s="4"/>
      <c r="B784" s="8"/>
      <c r="C784" s="8"/>
      <c r="D784" s="7"/>
      <c r="E784" s="7"/>
      <c r="F784" s="13"/>
      <c r="G784" s="59"/>
      <c r="H784" s="6"/>
      <c r="I784" s="6"/>
      <c r="J784" s="2"/>
      <c r="K784" s="2"/>
      <c r="L784" s="2"/>
      <c r="M784" s="2"/>
      <c r="N784" s="2"/>
      <c r="O784" s="77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spans="1:28" x14ac:dyDescent="0.25">
      <c r="A785" s="4"/>
      <c r="B785" s="8"/>
      <c r="C785" s="8"/>
      <c r="D785" s="7"/>
      <c r="E785" s="7"/>
      <c r="F785" s="13"/>
      <c r="G785" s="59"/>
      <c r="H785" s="6"/>
      <c r="I785" s="6"/>
      <c r="J785" s="2"/>
      <c r="K785" s="2"/>
      <c r="L785" s="2"/>
      <c r="M785" s="2"/>
      <c r="N785" s="2"/>
      <c r="O785" s="77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spans="1:28" x14ac:dyDescent="0.25">
      <c r="A786" s="4"/>
      <c r="B786" s="8"/>
      <c r="C786" s="8"/>
      <c r="D786" s="7"/>
      <c r="E786" s="7"/>
      <c r="F786" s="13"/>
      <c r="G786" s="59"/>
      <c r="H786" s="6"/>
      <c r="I786" s="6"/>
      <c r="J786" s="2"/>
      <c r="K786" s="2"/>
      <c r="L786" s="2"/>
      <c r="M786" s="2"/>
      <c r="N786" s="2"/>
      <c r="O786" s="77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spans="1:28" x14ac:dyDescent="0.25">
      <c r="A787" s="4"/>
      <c r="B787" s="8"/>
      <c r="C787" s="8"/>
      <c r="D787" s="7"/>
      <c r="E787" s="7"/>
      <c r="F787" s="13"/>
      <c r="G787" s="59"/>
      <c r="H787" s="6"/>
      <c r="I787" s="6"/>
      <c r="J787" s="2"/>
      <c r="K787" s="2"/>
      <c r="L787" s="2"/>
      <c r="M787" s="2"/>
      <c r="N787" s="2"/>
      <c r="O787" s="77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spans="1:28" x14ac:dyDescent="0.25">
      <c r="A788" s="4"/>
      <c r="B788" s="8"/>
      <c r="C788" s="8"/>
      <c r="D788" s="7"/>
      <c r="E788" s="7"/>
      <c r="F788" s="13"/>
      <c r="G788" s="59"/>
      <c r="H788" s="6"/>
      <c r="I788" s="6"/>
      <c r="J788" s="2"/>
      <c r="K788" s="2"/>
      <c r="L788" s="2"/>
      <c r="M788" s="2"/>
      <c r="N788" s="2"/>
      <c r="O788" s="77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spans="1:28" x14ac:dyDescent="0.25">
      <c r="A789" s="4"/>
      <c r="B789" s="8"/>
      <c r="C789" s="8"/>
      <c r="D789" s="7"/>
      <c r="E789" s="7"/>
      <c r="F789" s="13"/>
      <c r="G789" s="59"/>
      <c r="H789" s="6"/>
      <c r="I789" s="6"/>
      <c r="J789" s="2"/>
      <c r="K789" s="2"/>
      <c r="L789" s="2"/>
      <c r="M789" s="2"/>
      <c r="N789" s="2"/>
      <c r="O789" s="77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spans="1:28" x14ac:dyDescent="0.25">
      <c r="A790" s="4"/>
      <c r="B790" s="8"/>
      <c r="C790" s="8"/>
      <c r="D790" s="7"/>
      <c r="E790" s="7"/>
      <c r="F790" s="13"/>
      <c r="G790" s="59"/>
      <c r="H790" s="6"/>
      <c r="I790" s="6"/>
      <c r="J790" s="2"/>
      <c r="K790" s="2"/>
      <c r="L790" s="2"/>
      <c r="M790" s="2"/>
      <c r="N790" s="2"/>
      <c r="O790" s="77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spans="1:28" x14ac:dyDescent="0.25">
      <c r="A791" s="4"/>
      <c r="B791" s="8"/>
      <c r="C791" s="8"/>
      <c r="D791" s="7"/>
      <c r="E791" s="7"/>
      <c r="F791" s="13"/>
      <c r="G791" s="59"/>
      <c r="H791" s="6"/>
      <c r="I791" s="6"/>
      <c r="J791" s="2"/>
      <c r="K791" s="2"/>
      <c r="L791" s="2"/>
      <c r="M791" s="2"/>
      <c r="N791" s="2"/>
      <c r="O791" s="77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spans="1:28" x14ac:dyDescent="0.25">
      <c r="A792" s="4"/>
      <c r="B792" s="8"/>
      <c r="C792" s="8"/>
      <c r="D792" s="7"/>
      <c r="E792" s="7"/>
      <c r="F792" s="13"/>
      <c r="G792" s="59"/>
      <c r="H792" s="6"/>
      <c r="I792" s="6"/>
      <c r="J792" s="2"/>
      <c r="K792" s="2"/>
      <c r="L792" s="2"/>
      <c r="M792" s="2"/>
      <c r="N792" s="2"/>
      <c r="O792" s="77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spans="1:28" x14ac:dyDescent="0.25">
      <c r="A793" s="4"/>
      <c r="B793" s="8"/>
      <c r="C793" s="8"/>
      <c r="D793" s="7"/>
      <c r="E793" s="7"/>
      <c r="F793" s="13"/>
      <c r="G793" s="59"/>
      <c r="H793" s="6"/>
      <c r="I793" s="6"/>
      <c r="J793" s="2"/>
      <c r="K793" s="2"/>
      <c r="L793" s="2"/>
      <c r="M793" s="2"/>
      <c r="N793" s="2"/>
      <c r="O793" s="77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spans="1:28" x14ac:dyDescent="0.25">
      <c r="A794" s="4"/>
      <c r="B794" s="8"/>
      <c r="C794" s="8"/>
      <c r="D794" s="7"/>
      <c r="E794" s="7"/>
      <c r="F794" s="13"/>
      <c r="G794" s="59"/>
      <c r="H794" s="6"/>
      <c r="I794" s="6"/>
      <c r="J794" s="2"/>
      <c r="K794" s="2"/>
      <c r="L794" s="2"/>
      <c r="M794" s="2"/>
      <c r="N794" s="2"/>
      <c r="O794" s="77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spans="1:28" x14ac:dyDescent="0.25">
      <c r="A795" s="4"/>
      <c r="B795" s="8"/>
      <c r="C795" s="8"/>
      <c r="D795" s="7"/>
      <c r="E795" s="7"/>
      <c r="F795" s="13"/>
      <c r="G795" s="59"/>
      <c r="H795" s="6"/>
      <c r="I795" s="6"/>
      <c r="J795" s="2"/>
      <c r="K795" s="2"/>
      <c r="L795" s="2"/>
      <c r="M795" s="2"/>
      <c r="N795" s="2"/>
      <c r="O795" s="77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spans="1:28" x14ac:dyDescent="0.25">
      <c r="A796" s="4"/>
      <c r="B796" s="8"/>
      <c r="C796" s="8"/>
      <c r="D796" s="7"/>
      <c r="E796" s="7"/>
      <c r="F796" s="13"/>
      <c r="G796" s="59"/>
      <c r="H796" s="6"/>
      <c r="I796" s="6"/>
      <c r="J796" s="2"/>
      <c r="K796" s="2"/>
      <c r="L796" s="2"/>
      <c r="M796" s="2"/>
      <c r="N796" s="2"/>
      <c r="O796" s="77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x14ac:dyDescent="0.25">
      <c r="A797" s="4"/>
      <c r="B797" s="8"/>
      <c r="C797" s="8"/>
      <c r="D797" s="7"/>
      <c r="E797" s="7"/>
      <c r="F797" s="13"/>
      <c r="G797" s="59"/>
      <c r="H797" s="6"/>
      <c r="I797" s="6"/>
      <c r="J797" s="2"/>
      <c r="K797" s="2"/>
      <c r="L797" s="2"/>
      <c r="M797" s="2"/>
      <c r="N797" s="2"/>
      <c r="O797" s="77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spans="1:28" x14ac:dyDescent="0.25">
      <c r="A798" s="4"/>
      <c r="B798" s="8"/>
      <c r="C798" s="8"/>
      <c r="D798" s="7"/>
      <c r="E798" s="7"/>
      <c r="F798" s="13"/>
      <c r="G798" s="59"/>
      <c r="H798" s="6"/>
      <c r="I798" s="6"/>
      <c r="J798" s="2"/>
      <c r="K798" s="2"/>
      <c r="L798" s="2"/>
      <c r="M798" s="2"/>
      <c r="N798" s="2"/>
      <c r="O798" s="77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spans="1:28" x14ac:dyDescent="0.25">
      <c r="A799" s="4"/>
      <c r="B799" s="8"/>
      <c r="C799" s="8"/>
      <c r="D799" s="7"/>
      <c r="E799" s="7"/>
      <c r="F799" s="13"/>
      <c r="G799" s="59"/>
      <c r="H799" s="6"/>
      <c r="I799" s="6"/>
      <c r="J799" s="2"/>
      <c r="K799" s="2"/>
      <c r="L799" s="2"/>
      <c r="M799" s="2"/>
      <c r="N799" s="2"/>
      <c r="O799" s="77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spans="1:28" x14ac:dyDescent="0.25">
      <c r="A800" s="4"/>
      <c r="B800" s="8"/>
      <c r="C800" s="8"/>
      <c r="D800" s="7"/>
      <c r="E800" s="7"/>
      <c r="F800" s="13"/>
      <c r="G800" s="59"/>
      <c r="H800" s="6"/>
      <c r="I800" s="6"/>
      <c r="J800" s="2"/>
      <c r="K800" s="2"/>
      <c r="L800" s="2"/>
      <c r="M800" s="2"/>
      <c r="N800" s="2"/>
      <c r="O800" s="77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spans="1:28" x14ac:dyDescent="0.25">
      <c r="A801" s="4"/>
      <c r="B801" s="8"/>
      <c r="C801" s="8"/>
      <c r="D801" s="7"/>
      <c r="E801" s="7"/>
      <c r="F801" s="13"/>
      <c r="G801" s="59"/>
      <c r="H801" s="6"/>
      <c r="I801" s="6"/>
      <c r="J801" s="2"/>
      <c r="K801" s="2"/>
      <c r="L801" s="2"/>
      <c r="M801" s="2"/>
      <c r="N801" s="2"/>
      <c r="O801" s="77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spans="1:28" x14ac:dyDescent="0.25">
      <c r="A802" s="4"/>
      <c r="B802" s="8"/>
      <c r="C802" s="8"/>
      <c r="D802" s="7"/>
      <c r="E802" s="7"/>
      <c r="F802" s="13"/>
      <c r="G802" s="59"/>
      <c r="H802" s="6"/>
      <c r="I802" s="6"/>
      <c r="J802" s="2"/>
      <c r="K802" s="2"/>
      <c r="L802" s="2"/>
      <c r="M802" s="2"/>
      <c r="N802" s="2"/>
      <c r="O802" s="77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spans="1:28" x14ac:dyDescent="0.25">
      <c r="A803" s="4"/>
      <c r="B803" s="8"/>
      <c r="C803" s="8"/>
      <c r="D803" s="7"/>
      <c r="E803" s="7"/>
      <c r="F803" s="13"/>
      <c r="G803" s="59"/>
      <c r="H803" s="6"/>
      <c r="I803" s="6"/>
      <c r="J803" s="2"/>
      <c r="K803" s="2"/>
      <c r="L803" s="2"/>
      <c r="M803" s="2"/>
      <c r="N803" s="2"/>
      <c r="O803" s="77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spans="1:28" x14ac:dyDescent="0.25">
      <c r="A804" s="4"/>
      <c r="B804" s="8"/>
      <c r="C804" s="8"/>
      <c r="D804" s="7"/>
      <c r="E804" s="7"/>
      <c r="F804" s="13"/>
      <c r="G804" s="59"/>
      <c r="H804" s="6"/>
      <c r="I804" s="6"/>
      <c r="J804" s="2"/>
      <c r="K804" s="2"/>
      <c r="L804" s="2"/>
      <c r="M804" s="2"/>
      <c r="N804" s="2"/>
      <c r="O804" s="77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spans="1:28" x14ac:dyDescent="0.25">
      <c r="A805" s="4"/>
      <c r="B805" s="8"/>
      <c r="C805" s="8"/>
      <c r="D805" s="7"/>
      <c r="E805" s="7"/>
      <c r="F805" s="13"/>
      <c r="G805" s="59"/>
      <c r="H805" s="6"/>
      <c r="I805" s="6"/>
      <c r="J805" s="2"/>
      <c r="K805" s="2"/>
      <c r="L805" s="2"/>
      <c r="M805" s="2"/>
      <c r="N805" s="2"/>
      <c r="O805" s="77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x14ac:dyDescent="0.25">
      <c r="A806" s="4"/>
      <c r="B806" s="8"/>
      <c r="C806" s="8"/>
      <c r="D806" s="7"/>
      <c r="E806" s="7"/>
      <c r="F806" s="13"/>
      <c r="G806" s="59"/>
      <c r="H806" s="6"/>
      <c r="I806" s="6"/>
      <c r="J806" s="2"/>
      <c r="K806" s="2"/>
      <c r="L806" s="2"/>
      <c r="M806" s="2"/>
      <c r="N806" s="2"/>
      <c r="O806" s="77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spans="1:28" x14ac:dyDescent="0.25">
      <c r="A807" s="4"/>
      <c r="B807" s="8"/>
      <c r="C807" s="8"/>
      <c r="D807" s="7"/>
      <c r="E807" s="7"/>
      <c r="F807" s="13"/>
      <c r="G807" s="59"/>
      <c r="H807" s="6"/>
      <c r="I807" s="6"/>
      <c r="J807" s="2"/>
      <c r="K807" s="2"/>
      <c r="L807" s="2"/>
      <c r="M807" s="2"/>
      <c r="N807" s="2"/>
      <c r="O807" s="77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spans="1:28" x14ac:dyDescent="0.25">
      <c r="A808" s="4"/>
      <c r="B808" s="8"/>
      <c r="C808" s="8"/>
      <c r="D808" s="7"/>
      <c r="E808" s="7"/>
      <c r="F808" s="13"/>
      <c r="G808" s="59"/>
      <c r="H808" s="6"/>
      <c r="I808" s="6"/>
      <c r="J808" s="2"/>
      <c r="K808" s="2"/>
      <c r="L808" s="2"/>
      <c r="M808" s="2"/>
      <c r="N808" s="2"/>
      <c r="O808" s="77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x14ac:dyDescent="0.25">
      <c r="A809" s="4"/>
      <c r="B809" s="8"/>
      <c r="C809" s="8"/>
      <c r="D809" s="7"/>
      <c r="E809" s="7"/>
      <c r="F809" s="13"/>
      <c r="G809" s="59"/>
      <c r="H809" s="6"/>
      <c r="I809" s="6"/>
      <c r="J809" s="2"/>
      <c r="K809" s="2"/>
      <c r="L809" s="2"/>
      <c r="M809" s="2"/>
      <c r="N809" s="2"/>
      <c r="O809" s="77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spans="1:28" x14ac:dyDescent="0.25">
      <c r="A810" s="4"/>
      <c r="B810" s="8"/>
      <c r="C810" s="8"/>
      <c r="D810" s="7"/>
      <c r="E810" s="7"/>
      <c r="F810" s="13"/>
      <c r="G810" s="59"/>
      <c r="H810" s="6"/>
      <c r="I810" s="6"/>
      <c r="J810" s="2"/>
      <c r="K810" s="2"/>
      <c r="L810" s="2"/>
      <c r="M810" s="2"/>
      <c r="N810" s="2"/>
      <c r="O810" s="77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spans="1:28" x14ac:dyDescent="0.25">
      <c r="A811" s="4"/>
      <c r="B811" s="8"/>
      <c r="C811" s="8"/>
      <c r="D811" s="7"/>
      <c r="E811" s="7"/>
      <c r="F811" s="13"/>
      <c r="G811" s="59"/>
      <c r="H811" s="6"/>
      <c r="I811" s="6"/>
      <c r="J811" s="2"/>
      <c r="K811" s="2"/>
      <c r="L811" s="2"/>
      <c r="M811" s="2"/>
      <c r="N811" s="2"/>
      <c r="O811" s="77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spans="1:28" x14ac:dyDescent="0.25">
      <c r="A812" s="4"/>
      <c r="B812" s="8"/>
      <c r="C812" s="8"/>
      <c r="D812" s="7"/>
      <c r="E812" s="7"/>
      <c r="F812" s="13"/>
      <c r="G812" s="59"/>
      <c r="H812" s="6"/>
      <c r="I812" s="6"/>
      <c r="J812" s="2"/>
      <c r="K812" s="2"/>
      <c r="L812" s="2"/>
      <c r="M812" s="2"/>
      <c r="N812" s="2"/>
      <c r="O812" s="77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spans="1:28" x14ac:dyDescent="0.25">
      <c r="A813" s="4"/>
      <c r="B813" s="8"/>
      <c r="C813" s="8"/>
      <c r="D813" s="7"/>
      <c r="E813" s="7"/>
      <c r="F813" s="13"/>
      <c r="G813" s="59"/>
      <c r="H813" s="6"/>
      <c r="I813" s="6"/>
      <c r="J813" s="2"/>
      <c r="K813" s="2"/>
      <c r="L813" s="2"/>
      <c r="M813" s="2"/>
      <c r="N813" s="2"/>
      <c r="O813" s="77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spans="1:28" x14ac:dyDescent="0.25">
      <c r="A814" s="4"/>
      <c r="B814" s="8"/>
      <c r="C814" s="8"/>
      <c r="D814" s="7"/>
      <c r="E814" s="7"/>
      <c r="F814" s="13"/>
      <c r="G814" s="59"/>
      <c r="H814" s="6"/>
      <c r="I814" s="6"/>
      <c r="J814" s="2"/>
      <c r="K814" s="2"/>
      <c r="L814" s="2"/>
      <c r="M814" s="2"/>
      <c r="N814" s="2"/>
      <c r="O814" s="77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spans="1:28" x14ac:dyDescent="0.25">
      <c r="A815" s="4"/>
      <c r="B815" s="8"/>
      <c r="C815" s="8"/>
      <c r="D815" s="7"/>
      <c r="E815" s="7"/>
      <c r="F815" s="13"/>
      <c r="G815" s="59"/>
      <c r="H815" s="6"/>
      <c r="I815" s="6"/>
      <c r="J815" s="2"/>
      <c r="K815" s="2"/>
      <c r="L815" s="2"/>
      <c r="M815" s="2"/>
      <c r="N815" s="2"/>
      <c r="O815" s="77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x14ac:dyDescent="0.25">
      <c r="A816" s="4"/>
      <c r="B816" s="8"/>
      <c r="C816" s="8"/>
      <c r="D816" s="7"/>
      <c r="E816" s="7"/>
      <c r="F816" s="13"/>
      <c r="G816" s="59"/>
      <c r="H816" s="6"/>
      <c r="I816" s="6"/>
      <c r="J816" s="2"/>
      <c r="K816" s="2"/>
      <c r="L816" s="2"/>
      <c r="M816" s="2"/>
      <c r="N816" s="2"/>
      <c r="O816" s="77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spans="1:28" x14ac:dyDescent="0.25">
      <c r="A817" s="4"/>
      <c r="B817" s="8"/>
      <c r="C817" s="8"/>
      <c r="D817" s="7"/>
      <c r="E817" s="7"/>
      <c r="F817" s="13"/>
      <c r="G817" s="59"/>
      <c r="H817" s="6"/>
      <c r="I817" s="6"/>
      <c r="J817" s="2"/>
      <c r="K817" s="2"/>
      <c r="L817" s="2"/>
      <c r="M817" s="2"/>
      <c r="N817" s="2"/>
      <c r="O817" s="77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spans="1:28" x14ac:dyDescent="0.25">
      <c r="A818" s="4"/>
      <c r="B818" s="8"/>
      <c r="C818" s="8"/>
      <c r="D818" s="7"/>
      <c r="E818" s="7"/>
      <c r="F818" s="13"/>
      <c r="G818" s="59"/>
      <c r="H818" s="6"/>
      <c r="I818" s="6"/>
      <c r="J818" s="2"/>
      <c r="K818" s="2"/>
      <c r="L818" s="2"/>
      <c r="M818" s="2"/>
      <c r="N818" s="2"/>
      <c r="O818" s="77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spans="1:28" x14ac:dyDescent="0.25">
      <c r="A819" s="4"/>
      <c r="B819" s="8"/>
      <c r="C819" s="8"/>
      <c r="D819" s="7"/>
      <c r="E819" s="7"/>
      <c r="F819" s="13"/>
      <c r="G819" s="59"/>
      <c r="H819" s="6"/>
      <c r="I819" s="6"/>
      <c r="J819" s="2"/>
      <c r="K819" s="2"/>
      <c r="L819" s="2"/>
      <c r="M819" s="2"/>
      <c r="N819" s="2"/>
      <c r="O819" s="77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spans="1:28" x14ac:dyDescent="0.25">
      <c r="A820" s="4"/>
      <c r="B820" s="8"/>
      <c r="C820" s="8"/>
      <c r="D820" s="7"/>
      <c r="E820" s="7"/>
      <c r="F820" s="13"/>
      <c r="G820" s="59"/>
      <c r="H820" s="6"/>
      <c r="I820" s="6"/>
      <c r="J820" s="2"/>
      <c r="K820" s="2"/>
      <c r="L820" s="2"/>
      <c r="M820" s="2"/>
      <c r="N820" s="2"/>
      <c r="O820" s="77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spans="1:28" x14ac:dyDescent="0.25">
      <c r="A821" s="4"/>
      <c r="B821" s="8"/>
      <c r="C821" s="8"/>
      <c r="D821" s="7"/>
      <c r="E821" s="7"/>
      <c r="F821" s="13"/>
      <c r="G821" s="59"/>
      <c r="H821" s="6"/>
      <c r="I821" s="6"/>
      <c r="J821" s="2"/>
      <c r="K821" s="2"/>
      <c r="L821" s="2"/>
      <c r="M821" s="2"/>
      <c r="N821" s="2"/>
      <c r="O821" s="77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spans="1:28" x14ac:dyDescent="0.25">
      <c r="A822" s="4"/>
      <c r="B822" s="8"/>
      <c r="C822" s="8"/>
      <c r="D822" s="7"/>
      <c r="E822" s="7"/>
      <c r="F822" s="13"/>
      <c r="G822" s="59"/>
      <c r="H822" s="6"/>
      <c r="I822" s="6"/>
      <c r="J822" s="2"/>
      <c r="K822" s="2"/>
      <c r="L822" s="2"/>
      <c r="M822" s="2"/>
      <c r="N822" s="2"/>
      <c r="O822" s="77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spans="1:28" x14ac:dyDescent="0.25">
      <c r="A823" s="4"/>
      <c r="B823" s="8"/>
      <c r="C823" s="8"/>
      <c r="D823" s="7"/>
      <c r="E823" s="7"/>
      <c r="F823" s="13"/>
      <c r="G823" s="59"/>
      <c r="H823" s="6"/>
      <c r="I823" s="6"/>
      <c r="J823" s="2"/>
      <c r="K823" s="2"/>
      <c r="L823" s="2"/>
      <c r="M823" s="2"/>
      <c r="N823" s="2"/>
      <c r="O823" s="77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spans="1:28" x14ac:dyDescent="0.25">
      <c r="A824" s="4"/>
      <c r="B824" s="8"/>
      <c r="C824" s="8"/>
      <c r="D824" s="7"/>
      <c r="E824" s="7"/>
      <c r="F824" s="13"/>
      <c r="G824" s="59"/>
      <c r="H824" s="6"/>
      <c r="I824" s="6"/>
      <c r="J824" s="2"/>
      <c r="K824" s="2"/>
      <c r="L824" s="2"/>
      <c r="M824" s="2"/>
      <c r="N824" s="2"/>
      <c r="O824" s="77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25">
      <c r="A825" s="4"/>
      <c r="B825" s="8"/>
      <c r="C825" s="8"/>
      <c r="D825" s="7"/>
      <c r="E825" s="7"/>
      <c r="F825" s="13"/>
      <c r="G825" s="59"/>
      <c r="H825" s="6"/>
      <c r="I825" s="6"/>
      <c r="J825" s="2"/>
      <c r="K825" s="2"/>
      <c r="L825" s="2"/>
      <c r="M825" s="2"/>
      <c r="N825" s="2"/>
      <c r="O825" s="77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spans="1:28" x14ac:dyDescent="0.25">
      <c r="A826" s="4"/>
      <c r="B826" s="8"/>
      <c r="C826" s="8"/>
      <c r="D826" s="7"/>
      <c r="E826" s="7"/>
      <c r="F826" s="13"/>
      <c r="G826" s="59"/>
      <c r="H826" s="6"/>
      <c r="I826" s="6"/>
      <c r="J826" s="2"/>
      <c r="K826" s="2"/>
      <c r="L826" s="2"/>
      <c r="M826" s="2"/>
      <c r="N826" s="2"/>
      <c r="O826" s="77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spans="1:28" x14ac:dyDescent="0.25">
      <c r="A827" s="4"/>
      <c r="B827" s="8"/>
      <c r="C827" s="8"/>
      <c r="D827" s="7"/>
      <c r="E827" s="7"/>
      <c r="F827" s="13"/>
      <c r="G827" s="59"/>
      <c r="H827" s="6"/>
      <c r="I827" s="6"/>
      <c r="J827" s="2"/>
      <c r="K827" s="2"/>
      <c r="L827" s="2"/>
      <c r="M827" s="2"/>
      <c r="N827" s="2"/>
      <c r="O827" s="77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spans="1:28" x14ac:dyDescent="0.25">
      <c r="A828" s="4"/>
      <c r="B828" s="8"/>
      <c r="C828" s="8"/>
      <c r="D828" s="7"/>
      <c r="E828" s="7"/>
      <c r="F828" s="13"/>
      <c r="G828" s="59"/>
      <c r="H828" s="6"/>
      <c r="I828" s="6"/>
      <c r="J828" s="2"/>
      <c r="K828" s="2"/>
      <c r="L828" s="2"/>
      <c r="M828" s="2"/>
      <c r="N828" s="2"/>
      <c r="O828" s="77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spans="1:28" x14ac:dyDescent="0.25">
      <c r="A829" s="4"/>
      <c r="B829" s="8"/>
      <c r="C829" s="8"/>
      <c r="D829" s="7"/>
      <c r="E829" s="7"/>
      <c r="F829" s="13"/>
      <c r="G829" s="59"/>
      <c r="H829" s="6"/>
      <c r="I829" s="6"/>
      <c r="J829" s="2"/>
      <c r="K829" s="2"/>
      <c r="L829" s="2"/>
      <c r="M829" s="2"/>
      <c r="N829" s="2"/>
      <c r="O829" s="77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spans="1:28" x14ac:dyDescent="0.25">
      <c r="A830" s="4"/>
      <c r="B830" s="8"/>
      <c r="C830" s="8"/>
      <c r="D830" s="7"/>
      <c r="E830" s="7"/>
      <c r="F830" s="13"/>
      <c r="G830" s="59"/>
      <c r="H830" s="6"/>
      <c r="I830" s="6"/>
      <c r="J830" s="2"/>
      <c r="K830" s="2"/>
      <c r="L830" s="2"/>
      <c r="M830" s="2"/>
      <c r="N830" s="2"/>
      <c r="O830" s="77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25">
      <c r="A831" s="4"/>
      <c r="B831" s="8"/>
      <c r="C831" s="8"/>
      <c r="D831" s="7"/>
      <c r="E831" s="7"/>
      <c r="F831" s="13"/>
      <c r="G831" s="59"/>
      <c r="H831" s="6"/>
      <c r="I831" s="6"/>
      <c r="J831" s="2"/>
      <c r="K831" s="2"/>
      <c r="L831" s="2"/>
      <c r="M831" s="2"/>
      <c r="N831" s="2"/>
      <c r="O831" s="77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spans="1:28" x14ac:dyDescent="0.25">
      <c r="A832" s="4"/>
      <c r="B832" s="8"/>
      <c r="C832" s="8"/>
      <c r="D832" s="7"/>
      <c r="E832" s="7"/>
      <c r="F832" s="13"/>
      <c r="G832" s="59"/>
      <c r="H832" s="6"/>
      <c r="I832" s="6"/>
      <c r="J832" s="2"/>
      <c r="K832" s="2"/>
      <c r="L832" s="2"/>
      <c r="M832" s="2"/>
      <c r="N832" s="2"/>
      <c r="O832" s="77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spans="1:28" x14ac:dyDescent="0.25">
      <c r="A833" s="4"/>
      <c r="B833" s="8"/>
      <c r="C833" s="8"/>
      <c r="D833" s="7"/>
      <c r="E833" s="7"/>
      <c r="F833" s="13"/>
      <c r="G833" s="59"/>
      <c r="H833" s="6"/>
      <c r="I833" s="6"/>
      <c r="J833" s="2"/>
      <c r="K833" s="2"/>
      <c r="L833" s="2"/>
      <c r="M833" s="2"/>
      <c r="N833" s="2"/>
      <c r="O833" s="77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spans="1:28" x14ac:dyDescent="0.25">
      <c r="A834" s="4"/>
      <c r="B834" s="8"/>
      <c r="C834" s="8"/>
      <c r="D834" s="7"/>
      <c r="E834" s="7"/>
      <c r="F834" s="13"/>
      <c r="G834" s="59"/>
      <c r="H834" s="6"/>
      <c r="I834" s="6"/>
      <c r="J834" s="2"/>
      <c r="K834" s="2"/>
      <c r="L834" s="2"/>
      <c r="M834" s="2"/>
      <c r="N834" s="2"/>
      <c r="O834" s="77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spans="1:28" x14ac:dyDescent="0.25">
      <c r="A835" s="4"/>
      <c r="B835" s="8"/>
      <c r="C835" s="8"/>
      <c r="D835" s="7"/>
      <c r="E835" s="7"/>
      <c r="F835" s="13"/>
      <c r="G835" s="59"/>
      <c r="H835" s="6"/>
      <c r="I835" s="6"/>
      <c r="J835" s="2"/>
      <c r="K835" s="2"/>
      <c r="L835" s="2"/>
      <c r="M835" s="2"/>
      <c r="N835" s="2"/>
      <c r="O835" s="77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spans="1:28" x14ac:dyDescent="0.25">
      <c r="A836" s="4"/>
      <c r="B836" s="8"/>
      <c r="C836" s="8"/>
      <c r="D836" s="7"/>
      <c r="E836" s="7"/>
      <c r="F836" s="13"/>
      <c r="G836" s="59"/>
      <c r="H836" s="6"/>
      <c r="I836" s="6"/>
      <c r="J836" s="2"/>
      <c r="K836" s="2"/>
      <c r="L836" s="2"/>
      <c r="M836" s="2"/>
      <c r="N836" s="2"/>
      <c r="O836" s="77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spans="1:28" x14ac:dyDescent="0.25">
      <c r="A837" s="4"/>
      <c r="B837" s="8"/>
      <c r="C837" s="8"/>
      <c r="D837" s="7"/>
      <c r="E837" s="7"/>
      <c r="F837" s="13"/>
      <c r="G837" s="59"/>
      <c r="H837" s="6"/>
      <c r="I837" s="6"/>
      <c r="J837" s="2"/>
      <c r="K837" s="2"/>
      <c r="L837" s="2"/>
      <c r="M837" s="2"/>
      <c r="N837" s="2"/>
      <c r="O837" s="77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spans="1:28" x14ac:dyDescent="0.25">
      <c r="A838" s="4"/>
      <c r="B838" s="8"/>
      <c r="C838" s="8"/>
      <c r="D838" s="7"/>
      <c r="E838" s="7"/>
      <c r="F838" s="13"/>
      <c r="G838" s="59"/>
      <c r="H838" s="6"/>
      <c r="I838" s="6"/>
      <c r="J838" s="2"/>
      <c r="K838" s="2"/>
      <c r="L838" s="2"/>
      <c r="M838" s="2"/>
      <c r="N838" s="2"/>
      <c r="O838" s="77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spans="1:28" x14ac:dyDescent="0.25">
      <c r="A839" s="4"/>
      <c r="B839" s="8"/>
      <c r="C839" s="8"/>
      <c r="D839" s="7"/>
      <c r="E839" s="7"/>
      <c r="F839" s="13"/>
      <c r="G839" s="59"/>
      <c r="H839" s="6"/>
      <c r="I839" s="6"/>
      <c r="J839" s="2"/>
      <c r="K839" s="2"/>
      <c r="L839" s="2"/>
      <c r="M839" s="2"/>
      <c r="N839" s="2"/>
      <c r="O839" s="77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spans="1:28" x14ac:dyDescent="0.25">
      <c r="A840" s="4"/>
      <c r="B840" s="8"/>
      <c r="C840" s="8"/>
      <c r="D840" s="7"/>
      <c r="E840" s="7"/>
      <c r="F840" s="13"/>
      <c r="G840" s="59"/>
      <c r="H840" s="6"/>
      <c r="I840" s="6"/>
      <c r="J840" s="2"/>
      <c r="K840" s="2"/>
      <c r="L840" s="2"/>
      <c r="M840" s="2"/>
      <c r="N840" s="2"/>
      <c r="O840" s="77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spans="1:28" x14ac:dyDescent="0.25">
      <c r="A841" s="4"/>
      <c r="B841" s="8"/>
      <c r="C841" s="8"/>
      <c r="D841" s="7"/>
      <c r="E841" s="7"/>
      <c r="F841" s="13"/>
      <c r="G841" s="59"/>
      <c r="H841" s="6"/>
      <c r="I841" s="6"/>
      <c r="J841" s="2"/>
      <c r="K841" s="2"/>
      <c r="L841" s="2"/>
      <c r="M841" s="2"/>
      <c r="N841" s="2"/>
      <c r="O841" s="77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spans="1:28" x14ac:dyDescent="0.25">
      <c r="A842" s="4"/>
      <c r="B842" s="8"/>
      <c r="C842" s="8"/>
      <c r="D842" s="7"/>
      <c r="E842" s="7"/>
      <c r="F842" s="13"/>
      <c r="G842" s="59"/>
      <c r="H842" s="6"/>
      <c r="I842" s="6"/>
      <c r="J842" s="2"/>
      <c r="K842" s="2"/>
      <c r="L842" s="2"/>
      <c r="M842" s="2"/>
      <c r="N842" s="2"/>
      <c r="O842" s="77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 spans="1:28" x14ac:dyDescent="0.25">
      <c r="A843" s="4"/>
      <c r="B843" s="8"/>
      <c r="C843" s="8"/>
      <c r="D843" s="7"/>
      <c r="E843" s="7"/>
      <c r="F843" s="13"/>
      <c r="G843" s="59"/>
      <c r="H843" s="6"/>
      <c r="I843" s="6"/>
      <c r="J843" s="2"/>
      <c r="K843" s="2"/>
      <c r="L843" s="2"/>
      <c r="M843" s="2"/>
      <c r="N843" s="2"/>
      <c r="O843" s="77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 spans="1:28" x14ac:dyDescent="0.25">
      <c r="A844" s="4"/>
      <c r="B844" s="8"/>
      <c r="C844" s="8"/>
      <c r="D844" s="7"/>
      <c r="E844" s="7"/>
      <c r="F844" s="13"/>
      <c r="G844" s="59"/>
      <c r="H844" s="6"/>
      <c r="I844" s="6"/>
      <c r="J844" s="2"/>
      <c r="K844" s="2"/>
      <c r="L844" s="2"/>
      <c r="M844" s="2"/>
      <c r="N844" s="2"/>
      <c r="O844" s="77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</sheetData>
  <autoFilter ref="A4:AB685" xr:uid="{00000000-0001-0000-0000-000000000000}">
    <sortState xmlns:xlrd2="http://schemas.microsoft.com/office/spreadsheetml/2017/richdata2" ref="A5:AB671">
      <sortCondition ref="A4:A671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2"/>
  <sheetViews>
    <sheetView zoomScale="90" zoomScaleNormal="90" workbookViewId="0">
      <selection activeCell="Q4" sqref="Q4"/>
    </sheetView>
  </sheetViews>
  <sheetFormatPr defaultRowHeight="12.75" x14ac:dyDescent="0.2"/>
  <cols>
    <col min="1" max="1" width="16.7109375" bestFit="1" customWidth="1"/>
    <col min="2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2550</v>
      </c>
      <c r="R1" t="s">
        <v>2551</v>
      </c>
      <c r="S1" t="s">
        <v>2552</v>
      </c>
      <c r="T1" t="s">
        <v>2553</v>
      </c>
    </row>
    <row r="2" spans="1:20" x14ac:dyDescent="0.2">
      <c r="Q2" s="18" t="s">
        <v>559</v>
      </c>
      <c r="R2" s="19">
        <v>12502</v>
      </c>
      <c r="S2" s="19">
        <v>24000</v>
      </c>
      <c r="T2" s="19">
        <v>8482.7999999999993</v>
      </c>
    </row>
    <row r="3" spans="1:20" x14ac:dyDescent="0.2">
      <c r="A3" s="9" t="s">
        <v>2550</v>
      </c>
      <c r="B3" s="15" t="s">
        <v>2552</v>
      </c>
      <c r="C3" s="15" t="s">
        <v>2551</v>
      </c>
      <c r="D3" t="s">
        <v>2554</v>
      </c>
      <c r="Q3" s="18" t="s">
        <v>982</v>
      </c>
      <c r="R3" s="19">
        <v>12634</v>
      </c>
      <c r="S3" s="19">
        <v>24000</v>
      </c>
      <c r="T3" s="19">
        <v>8479</v>
      </c>
    </row>
    <row r="4" spans="1:20" x14ac:dyDescent="0.2">
      <c r="A4" s="10" t="s">
        <v>1827</v>
      </c>
      <c r="B4" s="15">
        <v>89999.999999999985</v>
      </c>
      <c r="C4" s="15">
        <v>88359</v>
      </c>
      <c r="D4">
        <v>37</v>
      </c>
      <c r="Q4" s="18" t="s">
        <v>1361</v>
      </c>
      <c r="R4" s="19">
        <v>8451</v>
      </c>
      <c r="S4" s="19">
        <v>24000</v>
      </c>
      <c r="T4" s="19">
        <v>6570</v>
      </c>
    </row>
    <row r="5" spans="1:20" x14ac:dyDescent="0.2">
      <c r="A5" s="11" t="s">
        <v>47</v>
      </c>
      <c r="B5" s="15">
        <v>89999.999999999985</v>
      </c>
      <c r="C5" s="15">
        <v>88359</v>
      </c>
      <c r="D5">
        <v>37</v>
      </c>
      <c r="Q5" s="18" t="s">
        <v>1827</v>
      </c>
      <c r="R5" s="19">
        <v>21413</v>
      </c>
      <c r="S5" s="19">
        <v>24000</v>
      </c>
      <c r="T5" s="19">
        <v>17022</v>
      </c>
    </row>
    <row r="6" spans="1:20" x14ac:dyDescent="0.2">
      <c r="A6" s="12">
        <v>46228</v>
      </c>
      <c r="B6" s="15">
        <v>15000</v>
      </c>
      <c r="C6" s="15">
        <v>11074</v>
      </c>
      <c r="D6">
        <v>7</v>
      </c>
      <c r="Q6" s="18" t="s">
        <v>2555</v>
      </c>
      <c r="R6" s="19">
        <v>55000</v>
      </c>
      <c r="S6" s="19">
        <v>96000</v>
      </c>
      <c r="T6" s="19">
        <v>40553.800000000003</v>
      </c>
    </row>
    <row r="7" spans="1:20" x14ac:dyDescent="0.2">
      <c r="A7" s="12">
        <v>46227</v>
      </c>
      <c r="B7" s="15">
        <v>15000</v>
      </c>
      <c r="C7" s="15">
        <v>16640</v>
      </c>
      <c r="D7">
        <v>7</v>
      </c>
    </row>
    <row r="8" spans="1:20" x14ac:dyDescent="0.2">
      <c r="A8" s="12">
        <v>46226</v>
      </c>
      <c r="B8" s="15">
        <v>15000</v>
      </c>
      <c r="C8" s="15">
        <v>14376</v>
      </c>
      <c r="D8">
        <v>6</v>
      </c>
    </row>
    <row r="9" spans="1:20" x14ac:dyDescent="0.2">
      <c r="A9" s="12">
        <v>46225</v>
      </c>
      <c r="B9" s="15">
        <v>15000</v>
      </c>
      <c r="C9" s="15">
        <v>17851</v>
      </c>
      <c r="D9">
        <v>6</v>
      </c>
    </row>
    <row r="10" spans="1:20" x14ac:dyDescent="0.2">
      <c r="A10" s="12">
        <v>46224</v>
      </c>
      <c r="B10" s="15">
        <v>15000</v>
      </c>
      <c r="C10" s="15">
        <v>14762</v>
      </c>
      <c r="D10">
        <v>5</v>
      </c>
    </row>
    <row r="11" spans="1:20" x14ac:dyDescent="0.2">
      <c r="A11" s="12">
        <v>46223</v>
      </c>
      <c r="B11" s="15">
        <v>15000</v>
      </c>
      <c r="C11" s="15">
        <v>13656</v>
      </c>
      <c r="D11">
        <v>6</v>
      </c>
    </row>
    <row r="12" spans="1:20" hidden="1" x14ac:dyDescent="0.2">
      <c r="A12" s="10" t="s">
        <v>2555</v>
      </c>
      <c r="B12" s="15">
        <v>89999.999999999985</v>
      </c>
      <c r="C12" s="15">
        <v>88359</v>
      </c>
      <c r="D12">
        <v>37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2550</v>
      </c>
      <c r="B3" t="s">
        <v>2552</v>
      </c>
      <c r="C3" t="s">
        <v>2556</v>
      </c>
      <c r="O3" s="9" t="s">
        <v>2550</v>
      </c>
      <c r="P3" t="s">
        <v>2552</v>
      </c>
      <c r="Q3" t="s">
        <v>2556</v>
      </c>
    </row>
    <row r="4" spans="1:17" x14ac:dyDescent="0.2">
      <c r="A4" s="10" t="s">
        <v>62</v>
      </c>
      <c r="B4" s="52">
        <v>12</v>
      </c>
      <c r="C4" s="52">
        <v>13.446791486291486</v>
      </c>
      <c r="O4" s="10" t="s">
        <v>35</v>
      </c>
      <c r="P4">
        <v>12</v>
      </c>
      <c r="Q4">
        <v>8.4977777777777774</v>
      </c>
    </row>
    <row r="5" spans="1:17" x14ac:dyDescent="0.2">
      <c r="A5" s="55">
        <v>46167</v>
      </c>
      <c r="B5" s="52">
        <v>2</v>
      </c>
      <c r="C5" s="52">
        <v>3.2472222222222222</v>
      </c>
      <c r="O5" s="10" t="s">
        <v>57</v>
      </c>
      <c r="P5">
        <v>12</v>
      </c>
      <c r="Q5">
        <v>6.1769166666666671</v>
      </c>
    </row>
    <row r="6" spans="1:17" x14ac:dyDescent="0.2">
      <c r="A6" s="55">
        <v>46168</v>
      </c>
      <c r="B6" s="52">
        <v>2</v>
      </c>
      <c r="C6" s="52">
        <v>2.375</v>
      </c>
      <c r="O6" s="10" t="s">
        <v>58</v>
      </c>
      <c r="P6">
        <v>12</v>
      </c>
      <c r="Q6">
        <v>7.8098349673202616</v>
      </c>
    </row>
    <row r="7" spans="1:17" x14ac:dyDescent="0.2">
      <c r="A7" s="55">
        <v>46169</v>
      </c>
      <c r="B7" s="52">
        <v>2</v>
      </c>
      <c r="C7" s="52">
        <v>1.83125</v>
      </c>
      <c r="O7" s="10" t="s">
        <v>62</v>
      </c>
      <c r="P7">
        <v>12</v>
      </c>
      <c r="Q7">
        <v>13.446791486291486</v>
      </c>
    </row>
    <row r="8" spans="1:17" x14ac:dyDescent="0.2">
      <c r="A8" s="55">
        <v>46170</v>
      </c>
      <c r="B8" s="52">
        <v>2</v>
      </c>
      <c r="C8" s="52">
        <v>2.2142500000000003</v>
      </c>
      <c r="O8" s="10" t="s">
        <v>2557</v>
      </c>
    </row>
    <row r="9" spans="1:17" x14ac:dyDescent="0.2">
      <c r="A9" s="55">
        <v>46171</v>
      </c>
      <c r="B9" s="52">
        <v>2</v>
      </c>
      <c r="C9" s="52">
        <v>2.0195454545454545</v>
      </c>
      <c r="O9" s="10" t="s">
        <v>2555</v>
      </c>
      <c r="P9">
        <v>48</v>
      </c>
      <c r="Q9">
        <v>35.931320898056192</v>
      </c>
    </row>
    <row r="10" spans="1:17" x14ac:dyDescent="0.2">
      <c r="A10" s="55">
        <v>46172</v>
      </c>
      <c r="B10" s="52">
        <v>2</v>
      </c>
      <c r="C10" s="52">
        <v>1.7595238095238097</v>
      </c>
    </row>
    <row r="11" spans="1:17" x14ac:dyDescent="0.2">
      <c r="A11" s="10" t="s">
        <v>2555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2558</v>
      </c>
      <c r="G3" s="17" t="s">
        <v>2559</v>
      </c>
      <c r="H3" s="17" t="s">
        <v>2560</v>
      </c>
      <c r="I3" s="17" t="s">
        <v>2561</v>
      </c>
      <c r="J3" s="17" t="s">
        <v>2562</v>
      </c>
      <c r="K3" s="17" t="s">
        <v>2563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2564</v>
      </c>
    </row>
    <row r="5" spans="6:11" x14ac:dyDescent="0.2">
      <c r="F5" s="17">
        <v>116</v>
      </c>
      <c r="H5" s="17">
        <v>110</v>
      </c>
      <c r="J5" s="17" t="s">
        <v>2565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2566</v>
      </c>
    </row>
    <row r="3" spans="1:17" x14ac:dyDescent="0.2">
      <c r="A3" s="25" t="s">
        <v>7</v>
      </c>
      <c r="B3" s="25" t="s">
        <v>2567</v>
      </c>
      <c r="C3" s="25" t="s">
        <v>2568</v>
      </c>
      <c r="D3" s="25" t="s">
        <v>2569</v>
      </c>
      <c r="E3" s="25" t="s">
        <v>2570</v>
      </c>
      <c r="F3" s="25" t="s">
        <v>2571</v>
      </c>
      <c r="H3" s="22" t="s">
        <v>2571</v>
      </c>
      <c r="I3" s="22" t="s">
        <v>2567</v>
      </c>
      <c r="J3" s="22" t="s">
        <v>2568</v>
      </c>
      <c r="K3" s="22" t="s">
        <v>2570</v>
      </c>
      <c r="L3" s="22" t="s">
        <v>2572</v>
      </c>
      <c r="M3" s="25" t="s">
        <v>2573</v>
      </c>
      <c r="O3" s="25" t="s">
        <v>7</v>
      </c>
      <c r="P3" s="25" t="s">
        <v>2570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2574</v>
      </c>
      <c r="H4" s="28" t="s">
        <v>2574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2574</v>
      </c>
      <c r="H5" s="28" t="s">
        <v>2575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2574</v>
      </c>
      <c r="H6" s="28" t="s">
        <v>2576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2574</v>
      </c>
      <c r="H7" s="28" t="s">
        <v>2577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2574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2574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2574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2574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2574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2574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2575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2575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2575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2575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2575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2575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2575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2576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2576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2576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2576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2576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2576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2576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2576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2576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2576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2576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2576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2576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2577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2577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2577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2577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2577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2577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2577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2577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2577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2577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2577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2577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2577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2577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2577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2577</v>
      </c>
    </row>
    <row r="50" spans="1:6" x14ac:dyDescent="0.2">
      <c r="A50" s="84" t="s">
        <v>2578</v>
      </c>
      <c r="B50" s="84"/>
      <c r="C50" s="84"/>
      <c r="E50" s="23">
        <f>SUM(E4:E49)</f>
        <v>12900</v>
      </c>
    </row>
    <row r="56" spans="1:6" ht="15.75" x14ac:dyDescent="0.25">
      <c r="A56" s="34" t="s">
        <v>2579</v>
      </c>
    </row>
    <row r="57" spans="1:6" ht="25.5" x14ac:dyDescent="0.2">
      <c r="A57" s="35" t="s">
        <v>2580</v>
      </c>
      <c r="B57" s="36" t="s">
        <v>2581</v>
      </c>
      <c r="C57" s="36" t="s">
        <v>2582</v>
      </c>
      <c r="D57" s="36" t="s">
        <v>2583</v>
      </c>
    </row>
    <row r="58" spans="1:6" x14ac:dyDescent="0.2">
      <c r="A58" s="40" t="s">
        <v>2584</v>
      </c>
      <c r="B58" s="37">
        <v>108384.01</v>
      </c>
      <c r="C58" s="37"/>
      <c r="D58" s="37">
        <v>108384.01</v>
      </c>
    </row>
    <row r="59" spans="1:6" x14ac:dyDescent="0.2">
      <c r="A59" s="40" t="s">
        <v>2585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2586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2587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2588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2589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2590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2591</v>
      </c>
      <c r="B65" s="37">
        <v>23860.793000000001</v>
      </c>
      <c r="C65" s="37"/>
      <c r="D65" s="37"/>
    </row>
    <row r="66" spans="1:4" x14ac:dyDescent="0.2">
      <c r="A66" s="40" t="s">
        <v>2592</v>
      </c>
      <c r="B66" s="37">
        <v>1344.431</v>
      </c>
      <c r="C66" s="37"/>
      <c r="D66" s="37"/>
    </row>
    <row r="67" spans="1:4" x14ac:dyDescent="0.2">
      <c r="A67" s="38" t="s">
        <v>2578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 x14ac:dyDescent="0.2">
      <c r="B2" s="47" t="s">
        <v>7</v>
      </c>
      <c r="C2" s="47" t="s">
        <v>8</v>
      </c>
      <c r="D2" s="48" t="s">
        <v>2593</v>
      </c>
      <c r="E2" s="48" t="s">
        <v>2594</v>
      </c>
      <c r="F2" s="48" t="s">
        <v>2595</v>
      </c>
      <c r="G2" s="48" t="s">
        <v>2596</v>
      </c>
      <c r="H2" s="48" t="s">
        <v>2597</v>
      </c>
      <c r="I2" s="48" t="s">
        <v>2598</v>
      </c>
      <c r="J2" s="48" t="s">
        <v>2599</v>
      </c>
      <c r="K2" s="48" t="s">
        <v>2600</v>
      </c>
      <c r="L2" s="48" t="s">
        <v>14</v>
      </c>
    </row>
    <row r="3" spans="2:12" x14ac:dyDescent="0.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 x14ac:dyDescent="0.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 x14ac:dyDescent="0.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 x14ac:dyDescent="0.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 x14ac:dyDescent="0.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 x14ac:dyDescent="0.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 x14ac:dyDescent="0.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 x14ac:dyDescent="0.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 x14ac:dyDescent="0.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 x14ac:dyDescent="0.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 x14ac:dyDescent="0.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 x14ac:dyDescent="0.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 x14ac:dyDescent="0.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 x14ac:dyDescent="0.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 x14ac:dyDescent="0.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 x14ac:dyDescent="0.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 x14ac:dyDescent="0.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 x14ac:dyDescent="0.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 x14ac:dyDescent="0.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 x14ac:dyDescent="0.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 x14ac:dyDescent="0.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 x14ac:dyDescent="0.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 x14ac:dyDescent="0.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 x14ac:dyDescent="0.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 x14ac:dyDescent="0.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 x14ac:dyDescent="0.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 x14ac:dyDescent="0.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 x14ac:dyDescent="0.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 x14ac:dyDescent="0.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 x14ac:dyDescent="0.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 x14ac:dyDescent="0.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 x14ac:dyDescent="0.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 x14ac:dyDescent="0.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 x14ac:dyDescent="0.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 x14ac:dyDescent="0.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 x14ac:dyDescent="0.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 x14ac:dyDescent="0.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 x14ac:dyDescent="0.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 x14ac:dyDescent="0.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 x14ac:dyDescent="0.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 x14ac:dyDescent="0.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 x14ac:dyDescent="0.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 x14ac:dyDescent="0.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 x14ac:dyDescent="0.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 x14ac:dyDescent="0.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 x14ac:dyDescent="0.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 x14ac:dyDescent="0.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 x14ac:dyDescent="0.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 x14ac:dyDescent="0.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 x14ac:dyDescent="0.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 x14ac:dyDescent="0.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 x14ac:dyDescent="0.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 x14ac:dyDescent="0.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 x14ac:dyDescent="0.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 x14ac:dyDescent="0.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 x14ac:dyDescent="0.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 x14ac:dyDescent="0.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 x14ac:dyDescent="0.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 x14ac:dyDescent="0.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 x14ac:dyDescent="0.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 x14ac:dyDescent="0.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 x14ac:dyDescent="0.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 x14ac:dyDescent="0.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 x14ac:dyDescent="0.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 x14ac:dyDescent="0.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 x14ac:dyDescent="0.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 x14ac:dyDescent="0.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 x14ac:dyDescent="0.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 x14ac:dyDescent="0.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Fernando Araujo Sousa</cp:lastModifiedBy>
  <cp:revision/>
  <dcterms:created xsi:type="dcterms:W3CDTF">2026-05-12T12:10:54Z</dcterms:created>
  <dcterms:modified xsi:type="dcterms:W3CDTF">2026-08-03T12:58:15Z</dcterms:modified>
  <cp:category/>
  <cp:contentStatus/>
</cp:coreProperties>
</file>