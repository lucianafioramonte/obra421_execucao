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5584" documentId="8_{CE5C6F22-4BE2-41D0-BCDC-905D26C0C4E3}" xr6:coauthVersionLast="47" xr6:coauthVersionMax="47" xr10:uidLastSave="{A4D44A99-A5D8-42C4-B892-4F3B0212CA64}"/>
  <bookViews>
    <workbookView xWindow="20370" yWindow="-120" windowWidth="29040" windowHeight="15720" tabRatio="678" firstSheet="2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BD!$A$4:$AB$679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260" r:id="rId9"/>
    <pivotCache cacheId="261" r:id="rId10"/>
    <pivotCache cacheId="262" r:id="rId11"/>
    <pivotCache cacheId="26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79" i="1" l="1"/>
  <c r="I677" i="1"/>
  <c r="I678" i="1"/>
  <c r="I676" i="1" l="1"/>
  <c r="I675" i="1"/>
  <c r="I674" i="1"/>
  <c r="I673" i="1" l="1"/>
  <c r="I672" i="1"/>
  <c r="H663" i="1" l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<sst xmlns="http://schemas.openxmlformats.org/spreadsheetml/2006/main" count="8173" uniqueCount="2367">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</sst>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3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9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0" fontId="2" fillId="8" borderId="1" xfId="0" applyFont="1" applyFill="1" applyBorder="1" applyAlignment="1">
      <alignment horizontal="left"/>
    </xf>
    <xf numFmtId="164" fontId="2" fillId="8" borderId="1" xfId="6" applyNumberFormat="1" applyFont="1" applyFill="1" applyBorder="1" applyAlignment="1">
      <alignment horizontal="left"/>
    </xf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/>
    <xf numFmtId="2" fontId="1" fillId="8" borderId="1" xfId="0" applyNumberFormat="1" applyFont="1" applyFill="1" applyBorder="1" applyAlignment="1">
      <alignment horizontal="left"/>
    </xf>
    <xf numFmtId="2" fontId="2" fillId="8" borderId="1" xfId="0" applyNumberFormat="1" applyFont="1" applyFill="1" applyBorder="1" applyAlignment="1">
      <alignment horizontal="left"/>
    </xf>
    <xf numFmtId="2" fontId="2" fillId="8" borderId="0" xfId="0" applyNumberFormat="1" applyFont="1" applyFill="1"/>
    <xf numFmtId="1" fontId="2" fillId="8" borderId="1" xfId="0" applyNumberFormat="1" applyFont="1" applyFill="1" applyBorder="1" applyAlignment="1">
      <alignment horizontal="left"/>
    </xf>
    <xf numFmtId="0" fontId="12" fillId="0" borderId="1" xfId="0" applyFont="1" applyBorder="1" applyAlignment="1">
      <alignment horizontal="left"/>
    </xf>
    <xf numFmtId="0" fontId="12" fillId="0" borderId="0" xfId="0" applyFont="1"/>
    <xf numFmtId="0" fontId="12" fillId="8" borderId="1" xfId="0" applyFont="1" applyFill="1" applyBorder="1" applyAlignment="1">
      <alignment horizontal="left"/>
    </xf>
    <xf numFmtId="164" fontId="12" fillId="3" borderId="1" xfId="6" applyNumberFormat="1" applyFont="1" applyFill="1" applyBorder="1" applyAlignment="1">
      <alignment horizontal="left"/>
    </xf>
    <xf numFmtId="14" fontId="12" fillId="3" borderId="1" xfId="0" applyNumberFormat="1" applyFont="1" applyFill="1" applyBorder="1" applyAlignment="1">
      <alignment horizontal="left"/>
    </xf>
    <xf numFmtId="0" fontId="12" fillId="3" borderId="1" xfId="0" applyFont="1" applyFill="1" applyBorder="1" applyAlignment="1">
      <alignment horizontal="center"/>
    </xf>
    <xf numFmtId="2" fontId="12" fillId="8" borderId="1" xfId="0" applyNumberFormat="1" applyFont="1" applyFill="1" applyBorder="1" applyAlignment="1">
      <alignment horizontal="left"/>
    </xf>
    <xf numFmtId="0" fontId="12" fillId="3" borderId="1" xfId="0" applyFont="1" applyFill="1" applyBorder="1" applyAlignment="1">
      <alignment horizontal="center" vertical="center"/>
    </xf>
    <xf numFmtId="14" fontId="12" fillId="0" borderId="1" xfId="0" applyNumberFormat="1" applyFont="1" applyBorder="1" applyAlignment="1">
      <alignment horizontal="left"/>
    </xf>
    <xf numFmtId="0" fontId="12" fillId="3" borderId="1" xfId="0" applyFont="1" applyFill="1" applyBorder="1" applyAlignment="1">
      <alignment horizontal="left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35" formatCode="_-* #,##0.00_-;\-* #,##0.0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</dxfs>
  <tableStyles count="0" defaultTableStyle="TableStyleMedium2" defaultPivotStyle="PivotStyleLight16"/>
  <colors>
    <mruColors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dLbl>
              <c:idx val="2"/>
              <c:layout>
                <c:manualLayout>
                  <c:x val="0"/>
                  <c:y val="-1.813369407621786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C2C-4394-AE3D-E21EBB7C16B7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11074</c:v>
                </c:pt>
                <c:pt idx="1">
                  <c:v>16640</c:v>
                </c:pt>
                <c:pt idx="2">
                  <c:v>14376</c:v>
                </c:pt>
                <c:pt idx="3">
                  <c:v>17851</c:v>
                </c:pt>
                <c:pt idx="4">
                  <c:v>14762</c:v>
                </c:pt>
                <c:pt idx="5">
                  <c:v>13656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7</c:v>
                </c:pt>
                <c:pt idx="1">
                  <c:v>7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rgbClr val="00B05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rgbClr val="00B05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2"/>
              <c:layout>
                <c:manualLayout>
                  <c:x val="2.7710008866111892E-2"/>
                  <c:y val="-4.662949905313149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[]</a:t>
                </a:fld>
                <a:endParaRPr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[]</a:t>
                </a:fld>
                <a:endParaRPr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12502</c:v>
                </c:pt>
                <c:pt idx="1">
                  <c:v>12634</c:v>
                </c:pt>
                <c:pt idx="2">
                  <c:v>8451</c:v>
                </c:pt>
                <c:pt idx="3">
                  <c:v>21413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8482.7999999999993</c:v>
                </c:pt>
                <c:pt idx="1">
                  <c:v>8479</c:v>
                </c:pt>
                <c:pt idx="2">
                  <c:v>6570</c:v>
                </c:pt>
                <c:pt idx="3">
                  <c:v>17022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layout>
                <c:manualLayout>
                  <c:x val="1.6789087093389193E-2"/>
                  <c:y val="-7.4232690935046391E-2"/>
                </c:manualLayout>
              </c:layout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24000</c:v>
                </c:pt>
                <c:pt idx="2">
                  <c:v>24000</c:v>
                </c:pt>
                <c:pt idx="3">
                  <c:v>24000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449072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680556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796295" createdVersion="8" refreshedVersion="8" minRefreshableVersion="3" recordCount="839" xr:uid="{9D45AC4C-13ED-4258-A051-E1A0E0BEF410}">
  <cacheSource type="worksheet">
    <worksheetSource ref="A4:AB7096" sheet="BD"/>
  </cacheSource>
  <cacheFields count="28">
    <cacheField name="Data" numFmtId="14">
      <sharedItems containsNonDate="0" containsDate="1" containsString="0" containsBlank="1" minDate="2026-05-04T00:00:00" maxDate="2026-07-27T00:00:00" count="85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m/>
      </sharedItems>
    </cacheField>
    <cacheField name="Semana" numFmtId="0">
      <sharedItems containsBlank="1" count="14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9259257" createdVersion="8" refreshedVersion="8" minRefreshableVersion="3" recordCount="839" xr:uid="{8D9D6DB7-C64F-4C80-9A78-61C3071D7139}">
  <cacheSource type="worksheet">
    <worksheetSource ref="A4:AB2530" sheet="BD"/>
  </cacheSource>
  <cacheFields count="28">
    <cacheField name="Data" numFmtId="14">
      <sharedItems containsNonDate="0" containsDate="1" containsString="0" containsBlank="1" minDate="2026-05-04T00:00:00" maxDate="2026-07-27T00:00:00" count="85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m/>
      </sharedItems>
    </cacheField>
    <cacheField name="Semana" numFmtId="0">
      <sharedItems containsBlank="1" count="15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26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8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t="default"/>
      </items>
    </pivotField>
    <pivotField axis="axisRow" showAll="0" sortType="ascending">
      <items count="15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sd="0" x="9"/>
        <item sd="0" x="10"/>
        <item sd="0" x="11"/>
        <item sd="0" x="12"/>
        <item h="1" x="13"/>
        <item t="default"/>
      </items>
    </pivotField>
    <pivotField showAll="0"/>
    <pivotField showAll="0"/>
    <pivotField showAll="0">
      <items count="8">
        <item h="1" x="4"/>
        <item h="1" x="1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9"/>
    </i>
    <i>
      <x v="10"/>
    </i>
    <i>
      <x v="11"/>
    </i>
    <i>
      <x v="1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1">
      <pivotArea outline="0" collapsedLevelsAreSubtotals="1" fieldPosition="0"/>
    </format>
    <format dxfId="2">
      <pivotArea dataOnly="0" labelOnly="1" fieldPosition="0">
        <references count="1">
          <reference field="1" count="0"/>
        </references>
      </pivotArea>
    </format>
    <format dxfId="3">
      <pivotArea dataOnly="0" labelOnly="1" grandRow="1" outline="0" fieldPosition="0"/>
    </format>
    <format dxfId="4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5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6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1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26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86"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6">
        <item h="1" x="1"/>
        <item h="1" m="1" x="14"/>
        <item h="1" x="0"/>
        <item h="1" x="13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x="12"/>
        <item t="default"/>
      </items>
    </pivotField>
    <pivotField showAll="0"/>
    <pivotField dataField="1" showAll="0"/>
    <pivotField axis="axisRow" showAll="0">
      <items count="8">
        <item h="1" x="4"/>
        <item h="1" x="1"/>
        <item h="1" x="0"/>
        <item x="2"/>
        <item h="1" x="5"/>
        <item h="1" x="3"/>
        <item h="1" x="6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4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0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4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38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37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26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26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5">
        <i x="1"/>
        <i x="0"/>
        <i x="2"/>
        <i x="3"/>
        <i x="4"/>
        <i x="5"/>
        <i x="6"/>
        <i x="7"/>
        <i x="8"/>
        <i x="9"/>
        <i x="10"/>
        <i x="11"/>
        <i x="12" s="1"/>
        <i x="14" nd="1"/>
        <i x="13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7"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4">
        <i x="1"/>
        <i x="0"/>
        <i x="2"/>
        <i x="3"/>
        <i x="4"/>
        <i x="5"/>
        <i x="6"/>
        <i x="7"/>
        <i x="8"/>
        <i x="9" s="1"/>
        <i x="10" s="1"/>
        <i x="11" s="1"/>
        <i x="12" s="1"/>
        <i x="13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7"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7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6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S6" sqref="S6"/>
    </sheetView>
  </sheetViews>
  <sheetFormatPr defaultColWidth="8.7109375" defaultRowHeight="12.75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/>
    <row r="2" spans="1:27" ht="18.75">
      <c r="B2" s="63" t="s">
        <v>0</v>
      </c>
      <c r="C2" s="92">
        <v>46223</v>
      </c>
      <c r="D2" s="92"/>
      <c r="E2" s="64" t="s">
        <v>1</v>
      </c>
      <c r="F2" s="92">
        <v>46229</v>
      </c>
      <c r="G2" s="92"/>
      <c r="H2" s="63"/>
      <c r="I2" s="93" t="s">
        <v>2</v>
      </c>
      <c r="J2" s="93"/>
      <c r="K2" s="63">
        <f>_xlfn.ISOWEEKNUM(C2)</f>
        <v>30</v>
      </c>
      <c r="L2" s="63" t="s">
        <v>1</v>
      </c>
      <c r="M2" s="63">
        <f>_xlfn.ISOWEEKNUM(F2)</f>
        <v>30</v>
      </c>
      <c r="U2" s="65"/>
      <c r="V2" s="65"/>
      <c r="W2" s="65"/>
      <c r="X2" s="65"/>
      <c r="Y2" s="65"/>
      <c r="Z2" s="65"/>
      <c r="AA2" s="65"/>
    </row>
    <row r="3" spans="1:27">
      <c r="C3" t="s">
        <v>3</v>
      </c>
      <c r="U3" s="66"/>
      <c r="V3" s="66"/>
      <c r="W3" s="66"/>
      <c r="X3" s="66"/>
      <c r="Y3" s="66"/>
      <c r="Z3" s="66"/>
    </row>
    <row r="4" spans="1:27" ht="15">
      <c r="A4" s="94"/>
      <c r="B4" s="94"/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U4" s="67"/>
      <c r="V4" s="67"/>
      <c r="W4" s="67"/>
      <c r="X4" s="67"/>
      <c r="Y4" s="67"/>
      <c r="Z4" s="67"/>
      <c r="AA4" s="67"/>
    </row>
    <row r="5" spans="1:27">
      <c r="U5" s="67"/>
      <c r="V5" s="67"/>
      <c r="W5" s="67"/>
      <c r="X5" s="67"/>
      <c r="Y5" s="67"/>
      <c r="Z5" s="67"/>
      <c r="AA5" s="67"/>
    </row>
    <row r="6" spans="1:27">
      <c r="U6" s="68"/>
      <c r="V6" s="68"/>
      <c r="W6" s="68"/>
      <c r="X6" s="68"/>
      <c r="Y6" s="54"/>
      <c r="Z6" s="54"/>
    </row>
    <row r="7" spans="1:27">
      <c r="U7" s="68"/>
      <c r="V7" s="68"/>
      <c r="W7" s="68"/>
      <c r="X7" s="68"/>
      <c r="Y7" s="54"/>
      <c r="Z7" s="54"/>
    </row>
    <row r="8" spans="1:27">
      <c r="U8" s="69"/>
      <c r="V8" s="69"/>
      <c r="W8" s="69"/>
      <c r="X8" s="69"/>
      <c r="Y8" s="54"/>
      <c r="Z8" s="54"/>
    </row>
    <row r="9" spans="1:27">
      <c r="U9" s="69"/>
      <c r="V9" s="69"/>
      <c r="W9" s="69"/>
      <c r="X9" s="69"/>
      <c r="Y9" s="54"/>
      <c r="Z9" s="54"/>
    </row>
    <row r="10" spans="1:27">
      <c r="U10" s="69"/>
      <c r="V10" s="69"/>
      <c r="W10" s="69"/>
      <c r="X10" s="69"/>
      <c r="Y10" s="54"/>
      <c r="Z10" s="54"/>
    </row>
    <row r="11" spans="1:27">
      <c r="U11" s="69"/>
      <c r="V11" s="69"/>
      <c r="W11" s="69"/>
      <c r="X11" s="69"/>
      <c r="Y11" s="54"/>
      <c r="Z11" s="54"/>
    </row>
    <row r="12" spans="1:27">
      <c r="U12" s="69"/>
      <c r="V12" s="69"/>
      <c r="W12" s="69"/>
      <c r="X12" s="69"/>
      <c r="Y12" s="54"/>
      <c r="Z12" s="54"/>
    </row>
    <row r="13" spans="1:27" ht="24.75" customHeight="1">
      <c r="U13" s="69"/>
      <c r="V13" s="69"/>
      <c r="W13" s="69"/>
      <c r="X13" s="69"/>
      <c r="Y13" s="54"/>
      <c r="Z13" s="54"/>
    </row>
    <row r="14" spans="1:27" ht="24.75" customHeight="1">
      <c r="U14" s="69"/>
      <c r="V14" s="69"/>
      <c r="W14" s="69"/>
      <c r="X14" s="69"/>
      <c r="Y14" s="54"/>
      <c r="Z14" s="54"/>
    </row>
    <row r="15" spans="1:27" ht="24.75" customHeight="1">
      <c r="U15" s="69"/>
      <c r="V15" s="69"/>
      <c r="W15" s="69"/>
      <c r="X15" s="69"/>
      <c r="Y15" s="54"/>
      <c r="Z15" s="54"/>
    </row>
    <row r="16" spans="1:27" ht="24.75" customHeight="1">
      <c r="U16" s="54"/>
      <c r="V16" s="54"/>
      <c r="W16" s="54"/>
      <c r="X16" s="54"/>
      <c r="Y16" s="54"/>
      <c r="Z16" s="54"/>
    </row>
    <row r="17" ht="24.75" customHeight="1"/>
    <row r="18" ht="24.75" customHeight="1"/>
    <row r="19" ht="24.75" customHeight="1"/>
    <row r="20" ht="24.75" customHeight="1"/>
    <row r="21" ht="24.75" customHeight="1"/>
    <row r="25" hidden="1"/>
    <row r="26" hidden="1"/>
    <row r="27" hidden="1"/>
    <row r="28" hidden="1"/>
    <row r="29" hidden="1"/>
    <row r="30" hidden="1"/>
    <row r="31" hidden="1"/>
    <row r="32" hidden="1"/>
    <row r="33" hidden="1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topLeftCell="A4" workbookViewId="0">
      <selection activeCell="R11" sqref="R11"/>
    </sheetView>
  </sheetViews>
  <sheetFormatPr defaultColWidth="8.7109375" defaultRowHeight="12.75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/>
    <row r="2" spans="1:27" ht="18.75">
      <c r="B2" s="63" t="s">
        <v>0</v>
      </c>
      <c r="C2" s="92">
        <v>46202</v>
      </c>
      <c r="D2" s="92"/>
      <c r="E2" s="64" t="s">
        <v>1</v>
      </c>
      <c r="F2" s="92">
        <v>46228</v>
      </c>
      <c r="G2" s="92"/>
      <c r="H2" s="63"/>
      <c r="I2" s="93" t="s">
        <v>2</v>
      </c>
      <c r="J2" s="93"/>
      <c r="K2" s="63">
        <f>_xlfn.ISOWEEKNUM(C2)</f>
        <v>27</v>
      </c>
      <c r="L2" s="63" t="s">
        <v>1</v>
      </c>
      <c r="M2" s="63">
        <f>_xlfn.ISOWEEKNUM(F2)</f>
        <v>30</v>
      </c>
      <c r="U2" s="65"/>
      <c r="V2" s="65"/>
      <c r="W2" s="65"/>
      <c r="X2" s="65"/>
      <c r="Y2" s="65"/>
      <c r="Z2" s="65"/>
      <c r="AA2" s="65"/>
    </row>
    <row r="3" spans="1:27">
      <c r="U3" s="66"/>
      <c r="V3" s="66"/>
      <c r="W3" s="66"/>
      <c r="X3" s="66"/>
      <c r="Y3" s="66"/>
      <c r="Z3" s="66"/>
    </row>
    <row r="4" spans="1:27" ht="15">
      <c r="A4" s="94"/>
      <c r="B4" s="94"/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U4" s="67"/>
      <c r="V4" s="67"/>
      <c r="W4" s="67"/>
      <c r="X4" s="67"/>
      <c r="Y4" s="67"/>
      <c r="Z4" s="67"/>
      <c r="AA4" s="67"/>
    </row>
    <row r="5" spans="1:27">
      <c r="U5" s="67"/>
      <c r="V5" s="67"/>
      <c r="W5" s="67"/>
      <c r="X5" s="67"/>
      <c r="Y5" s="67"/>
      <c r="Z5" s="67"/>
      <c r="AA5" s="67"/>
    </row>
    <row r="6" spans="1:27">
      <c r="U6" s="68"/>
      <c r="V6" s="68"/>
      <c r="W6" s="68"/>
      <c r="X6" s="68"/>
      <c r="Y6" s="54"/>
      <c r="Z6" s="54"/>
    </row>
    <row r="7" spans="1:27">
      <c r="U7" s="68"/>
      <c r="V7" s="68"/>
      <c r="W7" s="68"/>
      <c r="X7" s="68"/>
      <c r="Y7" s="54"/>
      <c r="Z7" s="54"/>
    </row>
    <row r="8" spans="1:27">
      <c r="U8" s="69"/>
      <c r="V8" s="69"/>
      <c r="W8" s="69"/>
      <c r="X8" s="69"/>
      <c r="Y8" s="54"/>
      <c r="Z8" s="54"/>
    </row>
    <row r="9" spans="1:27">
      <c r="U9" s="69"/>
      <c r="V9" s="69"/>
      <c r="W9" s="69"/>
      <c r="X9" s="69"/>
      <c r="Y9" s="54"/>
      <c r="Z9" s="54"/>
    </row>
    <row r="10" spans="1:27">
      <c r="U10" s="69"/>
      <c r="V10" s="69"/>
      <c r="W10" s="69"/>
      <c r="X10" s="69"/>
      <c r="Y10" s="54"/>
      <c r="Z10" s="54"/>
    </row>
    <row r="11" spans="1:27">
      <c r="U11" s="69"/>
      <c r="V11" s="69"/>
      <c r="W11" s="69"/>
      <c r="X11" s="69"/>
      <c r="Y11" s="54"/>
      <c r="Z11" s="54"/>
    </row>
    <row r="12" spans="1:27">
      <c r="U12" s="69"/>
      <c r="V12" s="69"/>
      <c r="W12" s="69"/>
      <c r="X12" s="69"/>
      <c r="Y12" s="54"/>
      <c r="Z12" s="54"/>
    </row>
    <row r="13" spans="1:27" ht="24.75" customHeight="1">
      <c r="U13" s="69"/>
      <c r="V13" s="69"/>
      <c r="W13" s="69"/>
      <c r="X13" s="69"/>
      <c r="Y13" s="54"/>
      <c r="Z13" s="54"/>
    </row>
    <row r="14" spans="1:27" ht="24.75" customHeight="1">
      <c r="U14" s="69"/>
      <c r="V14" s="69"/>
      <c r="W14" s="69"/>
      <c r="X14" s="69"/>
      <c r="Y14" s="54"/>
      <c r="Z14" s="54"/>
    </row>
    <row r="15" spans="1:27" ht="24.75" customHeight="1">
      <c r="U15" s="69"/>
      <c r="V15" s="69"/>
      <c r="W15" s="69"/>
      <c r="X15" s="69"/>
      <c r="Y15" s="54"/>
      <c r="Z15" s="54"/>
    </row>
    <row r="16" spans="1:27" ht="24.75" customHeight="1">
      <c r="U16" s="54"/>
      <c r="V16" s="54"/>
      <c r="W16" s="54"/>
      <c r="X16" s="54"/>
      <c r="Y16" s="54"/>
      <c r="Z16" s="54"/>
    </row>
    <row r="17" ht="24.75" customHeight="1"/>
    <row r="18" ht="24.75" customHeight="1"/>
    <row r="19" ht="24.75" customHeight="1"/>
    <row r="20" ht="24.75" customHeight="1"/>
    <row r="21" ht="24.75" customHeight="1"/>
    <row r="25" hidden="1"/>
    <row r="26" hidden="1"/>
    <row r="27" hidden="1"/>
    <row r="28" hidden="1"/>
    <row r="29" hidden="1"/>
    <row r="30" hidden="1"/>
    <row r="31" hidden="1"/>
    <row r="32" hidden="1"/>
    <row r="33" hidden="1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842"/>
  <sheetViews>
    <sheetView tabSelected="1" topLeftCell="E1" zoomScaleNormal="100" workbookViewId="0">
      <pane ySplit="4" topLeftCell="A616" activePane="bottomLeft" state="frozen"/>
      <selection pane="bottomLeft" activeCell="A674" sqref="A674"/>
    </sheetView>
  </sheetViews>
  <sheetFormatPr defaultColWidth="9.140625" defaultRowHeight="15"/>
  <cols>
    <col min="1" max="1" width="20.7109375" style="55" customWidth="1"/>
    <col min="2" max="5" width="20.7109375" style="1" customWidth="1"/>
    <col min="6" max="6" width="15" style="41" customWidth="1"/>
    <col min="7" max="7" width="26.28515625" style="59" bestFit="1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>
      <c r="A1" s="55" t="s">
        <v>4</v>
      </c>
      <c r="O1" s="77"/>
    </row>
    <row r="2" spans="1:28">
      <c r="A2" s="55" t="s">
        <v>5</v>
      </c>
      <c r="H2" s="1">
        <f>15000/7</f>
        <v>2142.8571428571427</v>
      </c>
      <c r="O2" s="77"/>
    </row>
    <row r="3" spans="1:28">
      <c r="A3" s="55" t="s">
        <v>6</v>
      </c>
      <c r="O3" s="77"/>
    </row>
    <row r="4" spans="1:28">
      <c r="A4" s="56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60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8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61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9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61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4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61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4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61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4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61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4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61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4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2"/>
      <c r="H11" s="44">
        <v>9000</v>
      </c>
      <c r="I11" s="44"/>
      <c r="J11" s="42"/>
      <c r="K11" s="42"/>
      <c r="L11" s="42"/>
      <c r="M11" s="42"/>
      <c r="N11" s="42"/>
      <c r="O11" s="4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61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4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61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4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61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4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61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4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61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4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61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4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2"/>
      <c r="H18" s="44">
        <v>9000</v>
      </c>
      <c r="I18" s="44"/>
      <c r="J18" s="42"/>
      <c r="K18" s="42"/>
      <c r="L18" s="42"/>
      <c r="M18" s="42"/>
      <c r="N18" s="42"/>
      <c r="O18" s="4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2"/>
      <c r="H19" s="44">
        <v>3000</v>
      </c>
      <c r="I19" s="44"/>
      <c r="J19" s="42"/>
      <c r="K19" s="42"/>
      <c r="L19" s="42"/>
      <c r="M19" s="42"/>
      <c r="N19" s="42"/>
      <c r="O19" s="4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61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9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61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4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61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4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61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4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61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4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61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4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61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4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2"/>
      <c r="H27" s="44">
        <v>9000</v>
      </c>
      <c r="I27" s="44"/>
      <c r="J27" s="42"/>
      <c r="K27" s="42"/>
      <c r="L27" s="42"/>
      <c r="M27" s="42"/>
      <c r="N27" s="42"/>
      <c r="O27" s="4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2"/>
      <c r="H28" s="44">
        <v>3000</v>
      </c>
      <c r="I28" s="44"/>
      <c r="J28" s="42"/>
      <c r="K28" s="42"/>
      <c r="L28" s="42"/>
      <c r="M28" s="42"/>
      <c r="N28" s="42"/>
      <c r="O28" s="4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61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9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61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4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61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4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61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4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61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4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61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4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61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4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2"/>
      <c r="H36" s="44">
        <v>12000</v>
      </c>
      <c r="I36" s="44"/>
      <c r="J36" s="42"/>
      <c r="K36" s="42"/>
      <c r="L36" s="42"/>
      <c r="M36" s="42"/>
      <c r="N36" s="42"/>
      <c r="O36" s="4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61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9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61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4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61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4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61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4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61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4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61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4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61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4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2"/>
      <c r="H44" s="44">
        <v>12000</v>
      </c>
      <c r="I44" s="44"/>
      <c r="J44" s="42"/>
      <c r="K44" s="42"/>
      <c r="L44" s="42"/>
      <c r="M44" s="42"/>
      <c r="N44" s="42"/>
      <c r="O44" s="4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61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9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61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4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61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4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61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4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61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4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61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4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61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4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2"/>
      <c r="H52" s="44">
        <v>12000</v>
      </c>
      <c r="I52" s="44"/>
      <c r="J52" s="42"/>
      <c r="K52" s="42"/>
      <c r="L52" s="42"/>
      <c r="M52" s="42"/>
      <c r="N52" s="42"/>
      <c r="O52" s="4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61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9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61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4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61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4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61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4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61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4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61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4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61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9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61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4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61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4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61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4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61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4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61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4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61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4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61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4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61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9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61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4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2"/>
      <c r="H69" s="44">
        <f>15000-6000</f>
        <v>9000</v>
      </c>
      <c r="I69" s="44"/>
      <c r="J69" s="42"/>
      <c r="K69" s="42"/>
      <c r="L69" s="42"/>
      <c r="M69" s="42"/>
      <c r="N69" s="42"/>
      <c r="O69" s="4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61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4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61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4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61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4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61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9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61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4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61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4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61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4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61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4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2"/>
      <c r="H78" s="44">
        <v>6000</v>
      </c>
      <c r="I78" s="44"/>
      <c r="J78" s="42"/>
      <c r="K78" s="42"/>
      <c r="L78" s="42"/>
      <c r="M78" s="42"/>
      <c r="N78" s="42"/>
      <c r="O78" s="4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61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4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61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4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61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9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61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4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61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4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61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4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61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4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61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4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61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4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61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9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61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4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61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4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61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4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61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4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2"/>
      <c r="H93" s="44">
        <v>6000</v>
      </c>
      <c r="I93" s="44"/>
      <c r="J93" s="42"/>
      <c r="K93" s="42"/>
      <c r="L93" s="42"/>
      <c r="M93" s="42"/>
      <c r="N93" s="42"/>
      <c r="O93" s="4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61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4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61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4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61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9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61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4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61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4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61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4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2"/>
      <c r="H100" s="44">
        <v>9000</v>
      </c>
      <c r="I100" s="44"/>
      <c r="J100" s="42"/>
      <c r="K100" s="42"/>
      <c r="L100" s="42"/>
      <c r="M100" s="42"/>
      <c r="N100" s="42"/>
      <c r="O100" s="4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61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4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61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4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61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4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61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9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61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4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61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4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61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4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2"/>
      <c r="H108" s="44">
        <v>9000</v>
      </c>
      <c r="I108" s="44"/>
      <c r="J108" s="42"/>
      <c r="K108" s="42"/>
      <c r="L108" s="42"/>
      <c r="M108" s="42"/>
      <c r="N108" s="42"/>
      <c r="O108" s="4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61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4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61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4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61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4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61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9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61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4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61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4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61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4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61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4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61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4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61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4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61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9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61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4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61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4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61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4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61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4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2"/>
      <c r="H124" s="44">
        <v>6000</v>
      </c>
      <c r="I124" s="44"/>
      <c r="J124" s="42"/>
      <c r="K124" s="42"/>
      <c r="L124" s="42"/>
      <c r="M124" s="42"/>
      <c r="N124" s="42"/>
      <c r="O124" s="4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61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4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61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4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61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9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61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4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61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4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61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4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61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4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2"/>
      <c r="H132" s="44">
        <v>6000</v>
      </c>
      <c r="I132" s="44"/>
      <c r="J132" s="42"/>
      <c r="K132" s="42"/>
      <c r="L132" s="42"/>
      <c r="M132" s="42"/>
      <c r="N132" s="42"/>
      <c r="O132" s="4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61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4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61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4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61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9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61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4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61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4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61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4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61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4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2"/>
      <c r="H140" s="44">
        <v>6000</v>
      </c>
      <c r="I140" s="44"/>
      <c r="J140" s="42"/>
      <c r="K140" s="42"/>
      <c r="L140" s="42"/>
      <c r="M140" s="42"/>
      <c r="N140" s="42"/>
      <c r="O140" s="4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61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4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61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9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61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4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61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4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61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4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61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4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61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4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2"/>
      <c r="H148" s="44">
        <v>12000</v>
      </c>
      <c r="I148" s="44"/>
      <c r="J148" s="42"/>
      <c r="K148" s="42"/>
      <c r="L148" s="42"/>
      <c r="M148" s="42"/>
      <c r="N148" s="42"/>
      <c r="O148" s="4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61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4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61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9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61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47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61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4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61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4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61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4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61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4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2"/>
      <c r="H156" s="44">
        <v>0</v>
      </c>
      <c r="I156" s="44"/>
      <c r="J156" s="42"/>
      <c r="K156" s="42"/>
      <c r="L156" s="42"/>
      <c r="M156" s="42"/>
      <c r="N156" s="42"/>
      <c r="O156" s="4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61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4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61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4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61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9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61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47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61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4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61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4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61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4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2"/>
      <c r="H164" s="44"/>
      <c r="I164" s="44"/>
      <c r="J164" s="42"/>
      <c r="K164" s="42"/>
      <c r="L164" s="42"/>
      <c r="M164" s="42"/>
      <c r="N164" s="42"/>
      <c r="O164" s="4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61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4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61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4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61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9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61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4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61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4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61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4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61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4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61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4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61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4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61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4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61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9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61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4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61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4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2"/>
      <c r="H178" s="44"/>
      <c r="I178" s="44"/>
      <c r="J178" s="42"/>
      <c r="K178" s="42"/>
      <c r="L178" s="42"/>
      <c r="M178" s="42"/>
      <c r="N178" s="42"/>
      <c r="O178" s="4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61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4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61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4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61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4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61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9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61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4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61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4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61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4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2"/>
      <c r="H186" s="44"/>
      <c r="I186" s="44"/>
      <c r="J186" s="42"/>
      <c r="K186" s="42"/>
      <c r="L186" s="42"/>
      <c r="M186" s="42"/>
      <c r="N186" s="42"/>
      <c r="O186" s="4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61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4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61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4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61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4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61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9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61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4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61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4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61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4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2"/>
      <c r="H194" s="44">
        <v>3000</v>
      </c>
      <c r="I194" s="44"/>
      <c r="J194" s="42"/>
      <c r="K194" s="42"/>
      <c r="L194" s="42"/>
      <c r="M194" s="42"/>
      <c r="N194" s="42"/>
      <c r="O194" s="4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61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4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61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4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61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4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61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9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61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4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61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4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61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4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2"/>
      <c r="H202" s="44">
        <v>3000</v>
      </c>
      <c r="I202" s="44"/>
      <c r="J202" s="42"/>
      <c r="K202" s="42"/>
      <c r="L202" s="42"/>
      <c r="M202" s="42"/>
      <c r="N202" s="42"/>
      <c r="O202" s="4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61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4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61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4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61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9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61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4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61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4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61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4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61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4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2"/>
      <c r="H210" s="44"/>
      <c r="I210" s="44"/>
      <c r="J210" s="42"/>
      <c r="K210" s="42"/>
      <c r="L210" s="42"/>
      <c r="M210" s="42"/>
      <c r="N210" s="42"/>
      <c r="O210" s="4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61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4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61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4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61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9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61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4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61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4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61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4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61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4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2"/>
      <c r="H218" s="44"/>
      <c r="I218" s="44"/>
      <c r="J218" s="42"/>
      <c r="K218" s="42"/>
      <c r="L218" s="42"/>
      <c r="M218" s="42"/>
      <c r="N218" s="42"/>
      <c r="O218" s="4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61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4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61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4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61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9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61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4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61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4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61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4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61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4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61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4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61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4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61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4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61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4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61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9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61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4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61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4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61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4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61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4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61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4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61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4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61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9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61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4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61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4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61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4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2"/>
      <c r="H241" s="44">
        <v>3000</v>
      </c>
      <c r="I241" s="44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61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4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61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4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61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4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61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9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61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4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61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4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61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4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2"/>
      <c r="H249" s="44">
        <v>3000</v>
      </c>
      <c r="I249" s="44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61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4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61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4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61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4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61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9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61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4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61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4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61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4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2"/>
      <c r="H257" s="44">
        <v>3000</v>
      </c>
      <c r="I257" s="44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61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4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61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4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61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9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61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9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61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4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61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4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61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4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2"/>
      <c r="H265" s="44">
        <v>6000</v>
      </c>
      <c r="I265" s="44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61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4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61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4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61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9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61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9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61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4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61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4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61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4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2"/>
      <c r="H273" s="44">
        <v>6000</v>
      </c>
      <c r="I273" s="44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61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4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61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4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61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4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61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9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61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4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61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4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61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4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2"/>
      <c r="H281" s="44">
        <v>3000</v>
      </c>
      <c r="I281" s="44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61"/>
      <c r="H282" s="6"/>
      <c r="I282" s="6"/>
      <c r="J282" s="2"/>
      <c r="K282" s="2"/>
      <c r="L282" s="2"/>
      <c r="M282" s="2"/>
      <c r="N282" s="2"/>
      <c r="O282" s="4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61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4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61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4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61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9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61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4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61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4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61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4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61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8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61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4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61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4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61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4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61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4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61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9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61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4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2"/>
      <c r="H296" s="44"/>
      <c r="I296" s="44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61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4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61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4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61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4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61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4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61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4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61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9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61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4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61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4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61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4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61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4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61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4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61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4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61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9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61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4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2"/>
      <c r="H311" s="44">
        <v>3000</v>
      </c>
      <c r="I311" s="44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61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4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61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4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61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4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61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4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61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4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61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9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61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4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61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4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61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4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61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4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61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4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61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4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61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9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61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4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2"/>
      <c r="H326" s="44">
        <v>3000</v>
      </c>
      <c r="I326" s="44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2"/>
      <c r="H327" s="44">
        <v>3000</v>
      </c>
      <c r="I327" s="44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61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4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61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4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61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4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61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4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61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9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61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4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61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4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61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4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61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4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61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4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61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4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61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4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61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9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61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4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61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4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61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4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61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4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61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4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61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4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61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9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61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4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61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4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2"/>
      <c r="H350" s="44">
        <v>3000</v>
      </c>
      <c r="I350" s="44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61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4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61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4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61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4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61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4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61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4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61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9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61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4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4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61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4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61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4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61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4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61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4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61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9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61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4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2"/>
      <c r="H365" s="44">
        <v>3000</v>
      </c>
      <c r="I365" s="44"/>
      <c r="J365" s="42"/>
      <c r="K365" s="42"/>
      <c r="L365" s="42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4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61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4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61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4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61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4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61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4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61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9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61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4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2"/>
      <c r="H373" s="44">
        <v>3000</v>
      </c>
      <c r="I373" s="44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61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4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4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61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4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61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4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61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9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61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4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61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4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4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61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4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61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4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61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4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61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9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61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4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61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4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2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4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61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4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61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4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61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4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61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4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61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9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61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4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61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4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61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4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61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9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61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4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61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4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61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4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61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4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61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4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61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4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61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4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61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4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61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9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61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4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61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4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2"/>
      <c r="H410" s="44">
        <v>3000</v>
      </c>
      <c r="I410" s="44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61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4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61"/>
      <c r="H412" s="6"/>
      <c r="I412" s="6">
        <f t="shared" si="35"/>
        <v>0</v>
      </c>
      <c r="J412" s="2"/>
      <c r="K412" s="2"/>
      <c r="L412" s="2"/>
      <c r="M412" s="2"/>
      <c r="N412" s="2"/>
      <c r="O412" s="4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61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4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61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4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61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4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61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9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61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4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61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4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61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4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61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4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61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4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61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4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61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4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61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9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61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4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61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4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61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4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61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4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61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4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61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4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61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4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61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9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61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4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61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4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61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4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61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4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61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4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61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4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61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4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61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9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61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4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61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4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61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4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61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4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61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4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61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4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61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9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61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4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61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4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61"/>
      <c r="H450" s="6"/>
      <c r="I450" s="6">
        <f t="shared" si="36"/>
        <v>0</v>
      </c>
      <c r="J450" s="2"/>
      <c r="K450" s="2"/>
      <c r="L450" s="2"/>
      <c r="M450" s="2"/>
      <c r="N450" s="2"/>
      <c r="O450" s="4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61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4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61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4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61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4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61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4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61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4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61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4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61"/>
      <c r="H457" s="6">
        <f>24000/5</f>
        <v>4800</v>
      </c>
      <c r="I457" s="6">
        <f t="shared" si="36"/>
        <v>210.94890510948903</v>
      </c>
      <c r="J457" s="70" t="s">
        <v>560</v>
      </c>
      <c r="K457" s="70">
        <v>2.74</v>
      </c>
      <c r="L457" s="70" t="s">
        <v>561</v>
      </c>
      <c r="M457" s="70" t="s">
        <v>562</v>
      </c>
      <c r="N457" s="70" t="s">
        <v>563</v>
      </c>
      <c r="O457" s="79">
        <v>578</v>
      </c>
      <c r="P457" s="70" t="s">
        <v>564</v>
      </c>
      <c r="Q457" s="70" t="s">
        <v>565</v>
      </c>
      <c r="R457" s="70" t="s">
        <v>566</v>
      </c>
      <c r="S457" s="70" t="s">
        <v>567</v>
      </c>
      <c r="T457" s="70" t="s">
        <v>568</v>
      </c>
      <c r="U457" s="70" t="s">
        <v>569</v>
      </c>
      <c r="V457" s="70" t="s">
        <v>570</v>
      </c>
      <c r="W457" s="70" t="s">
        <v>571</v>
      </c>
      <c r="X457" s="70" t="s">
        <v>572</v>
      </c>
      <c r="Y457" s="70" t="s">
        <v>573</v>
      </c>
      <c r="Z457" s="70" t="s">
        <v>548</v>
      </c>
      <c r="AA457" s="70" t="s">
        <v>548</v>
      </c>
      <c r="AB457" s="70" t="s">
        <v>574</v>
      </c>
    </row>
    <row r="458" spans="1:28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61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4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61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4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61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4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61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4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61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4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61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4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61"/>
      <c r="H464" s="6">
        <v>4800</v>
      </c>
      <c r="I464" s="6">
        <f t="shared" si="36"/>
        <v>542.76485788113689</v>
      </c>
      <c r="J464" s="70" t="s">
        <v>635</v>
      </c>
      <c r="K464" s="70">
        <v>7.74</v>
      </c>
      <c r="L464" s="70" t="s">
        <v>636</v>
      </c>
      <c r="M464" s="70" t="s">
        <v>637</v>
      </c>
      <c r="N464" s="70" t="s">
        <v>638</v>
      </c>
      <c r="O464" s="79">
        <v>4201</v>
      </c>
      <c r="P464" s="70" t="s">
        <v>639</v>
      </c>
      <c r="Q464" s="70" t="s">
        <v>640</v>
      </c>
      <c r="R464" s="70" t="s">
        <v>641</v>
      </c>
      <c r="S464" s="70" t="s">
        <v>642</v>
      </c>
      <c r="T464" s="70" t="s">
        <v>643</v>
      </c>
      <c r="U464" s="70" t="s">
        <v>644</v>
      </c>
      <c r="V464" s="70" t="s">
        <v>645</v>
      </c>
      <c r="W464" s="70" t="s">
        <v>646</v>
      </c>
      <c r="X464" s="70" t="s">
        <v>647</v>
      </c>
      <c r="Y464" s="70" t="s">
        <v>648</v>
      </c>
      <c r="Z464" s="70" t="s">
        <v>649</v>
      </c>
      <c r="AA464" s="70" t="s">
        <v>548</v>
      </c>
      <c r="AB464" s="70" t="s">
        <v>650</v>
      </c>
    </row>
    <row r="465" spans="1:28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61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4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2"/>
      <c r="H466" s="44">
        <v>3000</v>
      </c>
      <c r="I466" s="44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61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4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61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4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61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4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61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4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61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4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61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4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6"/>
      <c r="H473" s="6">
        <v>4800</v>
      </c>
      <c r="I473" s="6">
        <f t="shared" si="37"/>
        <v>403.66492146596858</v>
      </c>
      <c r="J473" s="70" t="s">
        <v>743</v>
      </c>
      <c r="K473" s="70">
        <v>1.91</v>
      </c>
      <c r="L473" s="70" t="s">
        <v>719</v>
      </c>
      <c r="M473" s="70" t="s">
        <v>744</v>
      </c>
      <c r="N473" s="70" t="s">
        <v>745</v>
      </c>
      <c r="O473" s="79">
        <v>771</v>
      </c>
      <c r="P473" s="70" t="s">
        <v>746</v>
      </c>
      <c r="Q473" s="70" t="s">
        <v>747</v>
      </c>
      <c r="R473" s="70" t="s">
        <v>748</v>
      </c>
      <c r="S473" s="70" t="s">
        <v>749</v>
      </c>
      <c r="T473" s="70" t="s">
        <v>712</v>
      </c>
      <c r="U473" s="70" t="s">
        <v>750</v>
      </c>
      <c r="V473" s="70" t="s">
        <v>751</v>
      </c>
      <c r="W473" s="70" t="s">
        <v>752</v>
      </c>
      <c r="X473" s="70" t="s">
        <v>753</v>
      </c>
      <c r="Y473" s="70" t="s">
        <v>754</v>
      </c>
      <c r="Z473" s="70" t="s">
        <v>548</v>
      </c>
      <c r="AA473" s="70" t="s">
        <v>548</v>
      </c>
      <c r="AB473" s="70" t="s">
        <v>650</v>
      </c>
    </row>
    <row r="474" spans="1:28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61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4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2"/>
      <c r="H475" s="44">
        <v>3000</v>
      </c>
      <c r="I475" s="44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61"/>
      <c r="H476" s="6">
        <v>3000</v>
      </c>
      <c r="I476" s="6">
        <f t="shared" ref="I476:I507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4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61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4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61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4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61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4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61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4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61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9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61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4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61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4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61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4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61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4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61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4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61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4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61"/>
      <c r="H488" s="6">
        <v>4800</v>
      </c>
      <c r="I488" s="6">
        <f t="shared" si="38"/>
        <v>598.07692307692309</v>
      </c>
      <c r="J488" s="70" t="s">
        <v>721</v>
      </c>
      <c r="K488" s="70">
        <v>5.2</v>
      </c>
      <c r="L488" s="70" t="s">
        <v>884</v>
      </c>
      <c r="M488" s="70" t="s">
        <v>885</v>
      </c>
      <c r="N488" s="70" t="s">
        <v>886</v>
      </c>
      <c r="O488" s="79">
        <v>3110</v>
      </c>
      <c r="P488" s="70" t="s">
        <v>887</v>
      </c>
      <c r="Q488" s="70" t="s">
        <v>888</v>
      </c>
      <c r="R488" s="70" t="s">
        <v>889</v>
      </c>
      <c r="S488" s="70" t="s">
        <v>890</v>
      </c>
      <c r="T488" s="70" t="s">
        <v>891</v>
      </c>
      <c r="U488" s="70" t="s">
        <v>892</v>
      </c>
      <c r="V488" s="70" t="s">
        <v>893</v>
      </c>
      <c r="W488" s="70" t="s">
        <v>894</v>
      </c>
      <c r="X488" s="70" t="s">
        <v>895</v>
      </c>
      <c r="Y488" s="70" t="s">
        <v>896</v>
      </c>
      <c r="Z488" s="70" t="s">
        <v>548</v>
      </c>
      <c r="AA488" s="70" t="s">
        <v>548</v>
      </c>
      <c r="AB488" s="70" t="s">
        <v>650</v>
      </c>
    </row>
    <row r="489" spans="1:28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61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4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61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4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61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4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61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4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61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4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61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4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61"/>
      <c r="H495" s="6">
        <v>4800</v>
      </c>
      <c r="I495" s="6">
        <f t="shared" si="38"/>
        <v>597.51166407465007</v>
      </c>
      <c r="J495" s="70" t="s">
        <v>954</v>
      </c>
      <c r="K495" s="70">
        <v>6.43</v>
      </c>
      <c r="L495" s="70" t="s">
        <v>955</v>
      </c>
      <c r="M495" s="70" t="s">
        <v>956</v>
      </c>
      <c r="N495" s="70" t="s">
        <v>957</v>
      </c>
      <c r="O495" s="79">
        <v>3842</v>
      </c>
      <c r="P495" s="70" t="s">
        <v>958</v>
      </c>
      <c r="Q495" s="70" t="s">
        <v>959</v>
      </c>
      <c r="R495" s="70" t="s">
        <v>960</v>
      </c>
      <c r="S495" s="70" t="s">
        <v>737</v>
      </c>
      <c r="T495" s="70" t="s">
        <v>961</v>
      </c>
      <c r="U495" s="70" t="s">
        <v>962</v>
      </c>
      <c r="V495" s="70" t="s">
        <v>963</v>
      </c>
      <c r="W495" s="70" t="s">
        <v>964</v>
      </c>
      <c r="X495" s="70" t="s">
        <v>965</v>
      </c>
      <c r="Y495" s="70" t="s">
        <v>966</v>
      </c>
      <c r="Z495" s="70" t="s">
        <v>548</v>
      </c>
      <c r="AA495" s="70" t="s">
        <v>548</v>
      </c>
      <c r="AB495" s="70" t="s">
        <v>650</v>
      </c>
    </row>
    <row r="496" spans="1:28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61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4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61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4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61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4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61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4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61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4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61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4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61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9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61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4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61"/>
      <c r="H504" s="6">
        <v>2500</v>
      </c>
      <c r="I504" s="6">
        <f t="shared" si="38"/>
        <v>278.15934065934067</v>
      </c>
      <c r="J504" s="71" t="s">
        <v>983</v>
      </c>
      <c r="K504" s="2">
        <v>7.28</v>
      </c>
      <c r="L504" s="71" t="s">
        <v>636</v>
      </c>
      <c r="M504" s="71" t="s">
        <v>984</v>
      </c>
      <c r="N504" s="71" t="s">
        <v>985</v>
      </c>
      <c r="O504" s="46">
        <v>2025</v>
      </c>
      <c r="P504" s="71" t="s">
        <v>985</v>
      </c>
      <c r="Q504" s="71" t="s">
        <v>985</v>
      </c>
      <c r="R504" s="71" t="s">
        <v>986</v>
      </c>
      <c r="S504" s="71" t="s">
        <v>961</v>
      </c>
      <c r="T504" s="71" t="s">
        <v>685</v>
      </c>
      <c r="U504" s="71" t="s">
        <v>987</v>
      </c>
      <c r="V504" s="71" t="s">
        <v>988</v>
      </c>
      <c r="W504" s="71" t="s">
        <v>989</v>
      </c>
      <c r="X504" s="71" t="s">
        <v>985</v>
      </c>
      <c r="Y504" s="71" t="s">
        <v>985</v>
      </c>
      <c r="Z504" s="71" t="s">
        <v>649</v>
      </c>
      <c r="AA504" s="71" t="s">
        <v>985</v>
      </c>
      <c r="AB504" s="71" t="s">
        <v>990</v>
      </c>
    </row>
    <row r="505" spans="1:28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2" t="s">
        <v>991</v>
      </c>
      <c r="K505" s="73">
        <v>7.41</v>
      </c>
      <c r="L505" s="72">
        <v>2</v>
      </c>
      <c r="M505" s="72" t="s">
        <v>992</v>
      </c>
      <c r="N505" s="72">
        <v>41</v>
      </c>
      <c r="O505" s="46">
        <v>2175</v>
      </c>
      <c r="P505" s="72" t="s">
        <v>993</v>
      </c>
      <c r="Q505" s="72" t="s">
        <v>994</v>
      </c>
      <c r="R505" s="72" t="s">
        <v>725</v>
      </c>
      <c r="S505" s="72" t="s">
        <v>712</v>
      </c>
      <c r="T505" s="72" t="s">
        <v>749</v>
      </c>
      <c r="U505" s="72" t="s">
        <v>995</v>
      </c>
      <c r="V505" s="72" t="s">
        <v>996</v>
      </c>
      <c r="W505" s="72" t="s">
        <v>997</v>
      </c>
      <c r="X505" s="72">
        <v>32724</v>
      </c>
      <c r="Y505" s="72">
        <v>65424</v>
      </c>
      <c r="Z505" s="72" t="s">
        <v>998</v>
      </c>
      <c r="AA505" s="72" t="s">
        <v>999</v>
      </c>
      <c r="AB505" s="72" t="s">
        <v>1000</v>
      </c>
    </row>
    <row r="506" spans="1:28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71" t="s">
        <v>1001</v>
      </c>
      <c r="K506" s="73">
        <v>8.1300000000000008</v>
      </c>
      <c r="L506" s="71">
        <v>1</v>
      </c>
      <c r="M506" s="71" t="s">
        <v>1002</v>
      </c>
      <c r="N506" s="71">
        <v>1352</v>
      </c>
      <c r="O506" s="46">
        <v>2813</v>
      </c>
      <c r="P506" s="71" t="s">
        <v>1003</v>
      </c>
      <c r="Q506" s="71" t="s">
        <v>1004</v>
      </c>
      <c r="R506" s="71" t="s">
        <v>1005</v>
      </c>
      <c r="S506" s="71" t="s">
        <v>839</v>
      </c>
      <c r="T506" s="71" t="s">
        <v>839</v>
      </c>
      <c r="U506" s="71" t="s">
        <v>1006</v>
      </c>
      <c r="V506" s="71" t="s">
        <v>1007</v>
      </c>
      <c r="W506" s="71" t="s">
        <v>1008</v>
      </c>
      <c r="X506" s="71">
        <v>144455</v>
      </c>
      <c r="Y506" s="71">
        <v>271852</v>
      </c>
      <c r="Z506" s="71" t="s">
        <v>800</v>
      </c>
      <c r="AA506" s="71">
        <v>0</v>
      </c>
      <c r="AB506" s="71" t="s">
        <v>1009</v>
      </c>
    </row>
    <row r="507" spans="1:28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2" t="s">
        <v>1010</v>
      </c>
      <c r="K507" s="74">
        <v>7.47</v>
      </c>
      <c r="L507" s="72" t="s">
        <v>585</v>
      </c>
      <c r="M507" s="72" t="s">
        <v>1011</v>
      </c>
      <c r="N507" s="72">
        <v>1279</v>
      </c>
      <c r="O507" s="46">
        <v>2786</v>
      </c>
      <c r="P507" s="72" t="s">
        <v>1012</v>
      </c>
      <c r="Q507" s="72" t="s">
        <v>1013</v>
      </c>
      <c r="R507" s="72" t="s">
        <v>1014</v>
      </c>
      <c r="S507" s="72" t="s">
        <v>685</v>
      </c>
      <c r="T507" s="72" t="s">
        <v>1015</v>
      </c>
      <c r="U507" s="72" t="s">
        <v>1016</v>
      </c>
      <c r="V507" s="72" t="s">
        <v>1017</v>
      </c>
      <c r="W507" s="72" t="s">
        <v>1018</v>
      </c>
      <c r="X507" s="72">
        <v>87035</v>
      </c>
      <c r="Y507" s="72">
        <v>188000</v>
      </c>
      <c r="Z507" s="72" t="s">
        <v>649</v>
      </c>
      <c r="AA507" s="72">
        <v>0</v>
      </c>
      <c r="AB507" s="72" t="s">
        <v>1019</v>
      </c>
    </row>
    <row r="508" spans="1:28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61" t="s">
        <v>146</v>
      </c>
      <c r="H508" s="6"/>
      <c r="I508" s="6">
        <f t="shared" ref="I508:I539" si="39">IFERROR(O508/K508,)</f>
        <v>0</v>
      </c>
      <c r="J508" s="74"/>
      <c r="K508" s="74"/>
      <c r="L508" s="74"/>
      <c r="M508" s="74"/>
      <c r="N508" s="74"/>
      <c r="O508" s="46"/>
      <c r="P508" s="74"/>
      <c r="Q508" s="74"/>
      <c r="R508" s="74"/>
      <c r="S508" s="74"/>
      <c r="T508" s="74"/>
      <c r="U508" s="74"/>
      <c r="V508" s="74"/>
      <c r="W508" s="72" t="s">
        <v>985</v>
      </c>
      <c r="X508" s="72" t="s">
        <v>985</v>
      </c>
      <c r="Y508" s="72" t="s">
        <v>985</v>
      </c>
      <c r="Z508" s="72" t="s">
        <v>985</v>
      </c>
      <c r="AA508" s="72" t="s">
        <v>985</v>
      </c>
      <c r="AB508" s="72" t="s">
        <v>985</v>
      </c>
    </row>
    <row r="509" spans="1:28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9"/>
        <v>559.77229601518036</v>
      </c>
      <c r="J509" s="75" t="s">
        <v>1020</v>
      </c>
      <c r="K509" s="74">
        <v>10.54</v>
      </c>
      <c r="L509" s="75" t="s">
        <v>1021</v>
      </c>
      <c r="M509" s="75" t="s">
        <v>1022</v>
      </c>
      <c r="N509" s="75">
        <v>0</v>
      </c>
      <c r="O509" s="46">
        <v>5900</v>
      </c>
      <c r="P509" s="75" t="s">
        <v>985</v>
      </c>
      <c r="Q509" s="75">
        <v>0</v>
      </c>
      <c r="R509" s="75" t="s">
        <v>1023</v>
      </c>
      <c r="S509" s="75" t="s">
        <v>816</v>
      </c>
      <c r="T509" s="75" t="s">
        <v>1024</v>
      </c>
      <c r="U509" s="75" t="s">
        <v>1025</v>
      </c>
      <c r="V509" s="75" t="s">
        <v>1026</v>
      </c>
      <c r="W509" s="72" t="s">
        <v>1027</v>
      </c>
      <c r="X509" s="72">
        <v>109978</v>
      </c>
      <c r="Y509" s="72">
        <v>316475</v>
      </c>
      <c r="Z509" s="72" t="s">
        <v>719</v>
      </c>
      <c r="AA509" s="72" t="s">
        <v>985</v>
      </c>
      <c r="AB509" s="72" t="s">
        <v>1028</v>
      </c>
    </row>
    <row r="510" spans="1:28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9"/>
        <v>291.68797953964196</v>
      </c>
      <c r="J510" s="75" t="s">
        <v>1029</v>
      </c>
      <c r="K510" s="74">
        <v>7.82</v>
      </c>
      <c r="L510" s="75" t="s">
        <v>585</v>
      </c>
      <c r="M510" s="75" t="s">
        <v>1030</v>
      </c>
      <c r="N510" s="75">
        <v>935</v>
      </c>
      <c r="O510" s="46">
        <v>2281</v>
      </c>
      <c r="P510" s="75" t="s">
        <v>1031</v>
      </c>
      <c r="Q510" s="75" t="s">
        <v>1032</v>
      </c>
      <c r="R510" s="75" t="s">
        <v>1033</v>
      </c>
      <c r="S510" s="75" t="s">
        <v>839</v>
      </c>
      <c r="T510" s="75" t="s">
        <v>1034</v>
      </c>
      <c r="U510" s="75" t="s">
        <v>1035</v>
      </c>
      <c r="V510" s="75" t="s">
        <v>1036</v>
      </c>
      <c r="W510" s="72" t="s">
        <v>1037</v>
      </c>
      <c r="X510" s="72">
        <v>179637</v>
      </c>
      <c r="Y510" s="72">
        <v>610615</v>
      </c>
      <c r="Z510" s="72">
        <v>0</v>
      </c>
      <c r="AA510" s="72">
        <v>0</v>
      </c>
      <c r="AB510" s="72">
        <v>5</v>
      </c>
    </row>
    <row r="511" spans="1:28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61">
        <v>2768</v>
      </c>
      <c r="G511" s="8" t="s">
        <v>985</v>
      </c>
      <c r="H511" s="6">
        <v>6000</v>
      </c>
      <c r="I511" s="6">
        <f t="shared" si="39"/>
        <v>580.72487644151568</v>
      </c>
      <c r="J511" s="71" t="s">
        <v>1038</v>
      </c>
      <c r="K511" s="74">
        <v>6.07</v>
      </c>
      <c r="L511" s="71" t="s">
        <v>678</v>
      </c>
      <c r="M511" s="71" t="s">
        <v>1039</v>
      </c>
      <c r="N511" s="71">
        <v>773</v>
      </c>
      <c r="O511" s="79">
        <v>3525</v>
      </c>
      <c r="P511" s="71" t="s">
        <v>1040</v>
      </c>
      <c r="Q511" s="71" t="s">
        <v>1041</v>
      </c>
      <c r="R511" s="71" t="s">
        <v>1042</v>
      </c>
      <c r="S511" s="71" t="s">
        <v>747</v>
      </c>
      <c r="T511" s="71" t="s">
        <v>1043</v>
      </c>
      <c r="U511" s="71" t="s">
        <v>1044</v>
      </c>
      <c r="V511" s="71" t="s">
        <v>1045</v>
      </c>
      <c r="W511" s="71" t="s">
        <v>1046</v>
      </c>
      <c r="X511" s="71">
        <v>410134</v>
      </c>
      <c r="Y511" s="71">
        <v>1454712</v>
      </c>
      <c r="Z511" s="71" t="s">
        <v>649</v>
      </c>
      <c r="AA511" s="71">
        <v>0</v>
      </c>
      <c r="AB511" s="71" t="s">
        <v>1047</v>
      </c>
    </row>
    <row r="512" spans="1:28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61" t="s">
        <v>146</v>
      </c>
      <c r="H512" s="6"/>
      <c r="I512" s="6">
        <f t="shared" si="39"/>
        <v>0</v>
      </c>
      <c r="J512" s="74"/>
      <c r="K512" s="74"/>
      <c r="L512" s="74"/>
      <c r="M512" s="74"/>
      <c r="N512" s="74"/>
      <c r="O512" s="46"/>
      <c r="P512" s="74"/>
      <c r="Q512" s="74"/>
      <c r="R512" s="74"/>
      <c r="S512" s="74"/>
      <c r="T512" s="74"/>
      <c r="U512" s="74"/>
      <c r="V512" s="74"/>
      <c r="W512" s="72" t="s">
        <v>985</v>
      </c>
      <c r="X512" s="72" t="s">
        <v>985</v>
      </c>
      <c r="Y512" s="72" t="s">
        <v>985</v>
      </c>
      <c r="Z512" s="72" t="s">
        <v>985</v>
      </c>
      <c r="AA512" s="72" t="s">
        <v>985</v>
      </c>
      <c r="AB512" s="72" t="s">
        <v>985</v>
      </c>
    </row>
    <row r="513" spans="1:28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61"/>
      <c r="H513" s="6">
        <v>2500</v>
      </c>
      <c r="I513" s="6">
        <f t="shared" si="39"/>
        <v>348.67503486750348</v>
      </c>
      <c r="J513" s="71" t="s">
        <v>1048</v>
      </c>
      <c r="K513" s="73">
        <v>7.17</v>
      </c>
      <c r="L513" s="71" t="s">
        <v>756</v>
      </c>
      <c r="M513" s="71" t="s">
        <v>1049</v>
      </c>
      <c r="N513" s="71" t="s">
        <v>985</v>
      </c>
      <c r="O513" s="46">
        <v>2500</v>
      </c>
      <c r="P513" s="71" t="s">
        <v>985</v>
      </c>
      <c r="Q513" s="71" t="s">
        <v>985</v>
      </c>
      <c r="R513" s="71">
        <v>150</v>
      </c>
      <c r="S513" s="71" t="s">
        <v>567</v>
      </c>
      <c r="T513" s="71" t="s">
        <v>762</v>
      </c>
      <c r="U513" s="71" t="s">
        <v>1050</v>
      </c>
      <c r="V513" s="71" t="s">
        <v>1051</v>
      </c>
      <c r="W513" s="71" t="s">
        <v>1052</v>
      </c>
      <c r="X513" s="71" t="s">
        <v>985</v>
      </c>
      <c r="Y513" s="71" t="s">
        <v>985</v>
      </c>
      <c r="Z513" s="71" t="s">
        <v>649</v>
      </c>
      <c r="AA513" s="71" t="s">
        <v>985</v>
      </c>
      <c r="AB513" s="71" t="s">
        <v>1053</v>
      </c>
    </row>
    <row r="514" spans="1:28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9"/>
        <v>204.75460122699388</v>
      </c>
      <c r="J514" s="72" t="s">
        <v>1054</v>
      </c>
      <c r="K514" s="74">
        <v>6.52</v>
      </c>
      <c r="L514" s="72" t="s">
        <v>678</v>
      </c>
      <c r="M514" s="72" t="s">
        <v>1055</v>
      </c>
      <c r="N514" s="72">
        <v>1225</v>
      </c>
      <c r="O514" s="46">
        <v>1335</v>
      </c>
      <c r="P514" s="72" t="s">
        <v>1056</v>
      </c>
      <c r="Q514" s="72" t="s">
        <v>867</v>
      </c>
      <c r="R514" s="72" t="s">
        <v>1057</v>
      </c>
      <c r="S514" s="72" t="s">
        <v>658</v>
      </c>
      <c r="T514" s="72" t="s">
        <v>1058</v>
      </c>
      <c r="U514" s="72" t="s">
        <v>1059</v>
      </c>
      <c r="V514" s="72" t="s">
        <v>1060</v>
      </c>
      <c r="W514" s="72" t="s">
        <v>1061</v>
      </c>
      <c r="X514" s="72">
        <v>33949</v>
      </c>
      <c r="Y514" s="72">
        <v>67308</v>
      </c>
      <c r="Z514" s="72" t="s">
        <v>800</v>
      </c>
      <c r="AA514" s="72">
        <v>0</v>
      </c>
      <c r="AB514" s="72" t="s">
        <v>1062</v>
      </c>
    </row>
    <row r="515" spans="1:28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9"/>
        <v>333.94607843137254</v>
      </c>
      <c r="J515" s="72" t="s">
        <v>1063</v>
      </c>
      <c r="K515" s="74">
        <v>8.16</v>
      </c>
      <c r="L515" s="72" t="s">
        <v>1064</v>
      </c>
      <c r="M515" s="72" t="s">
        <v>1065</v>
      </c>
      <c r="N515" s="72">
        <v>1387</v>
      </c>
      <c r="O515" s="46">
        <v>2725</v>
      </c>
      <c r="P515" s="72" t="s">
        <v>1066</v>
      </c>
      <c r="Q515" s="72" t="s">
        <v>1067</v>
      </c>
      <c r="R515" s="72" t="s">
        <v>1068</v>
      </c>
      <c r="S515" s="72" t="s">
        <v>582</v>
      </c>
      <c r="T515" s="72" t="s">
        <v>1069</v>
      </c>
      <c r="U515" s="72" t="s">
        <v>1070</v>
      </c>
      <c r="V515" s="72" t="s">
        <v>1071</v>
      </c>
      <c r="W515" s="72" t="s">
        <v>1072</v>
      </c>
      <c r="X515" s="72">
        <v>145842</v>
      </c>
      <c r="Y515" s="72">
        <v>274577</v>
      </c>
      <c r="Z515" s="72" t="s">
        <v>800</v>
      </c>
      <c r="AA515" s="72">
        <v>0</v>
      </c>
      <c r="AB515" s="72">
        <v>311</v>
      </c>
    </row>
    <row r="516" spans="1:28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9"/>
        <v>303.17829457364343</v>
      </c>
      <c r="J516" s="72" t="s">
        <v>1073</v>
      </c>
      <c r="K516" s="74">
        <v>12.9</v>
      </c>
      <c r="L516" s="72" t="s">
        <v>621</v>
      </c>
      <c r="M516" s="72" t="s">
        <v>830</v>
      </c>
      <c r="N516" s="72">
        <v>1616</v>
      </c>
      <c r="O516" s="46">
        <v>3911</v>
      </c>
      <c r="P516" s="72" t="s">
        <v>1074</v>
      </c>
      <c r="Q516" s="72" t="s">
        <v>1075</v>
      </c>
      <c r="R516" s="72" t="s">
        <v>1076</v>
      </c>
      <c r="S516" s="72" t="s">
        <v>627</v>
      </c>
      <c r="T516" s="72" t="s">
        <v>628</v>
      </c>
      <c r="U516" s="72" t="s">
        <v>1077</v>
      </c>
      <c r="V516" s="72" t="s">
        <v>1078</v>
      </c>
      <c r="W516" s="72" t="s">
        <v>1079</v>
      </c>
      <c r="X516" s="72">
        <v>88651</v>
      </c>
      <c r="Y516" s="72">
        <v>191911</v>
      </c>
      <c r="Z516" s="72">
        <v>4</v>
      </c>
      <c r="AA516" s="72">
        <v>0</v>
      </c>
      <c r="AB516" s="72" t="s">
        <v>1080</v>
      </c>
    </row>
    <row r="517" spans="1:28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9"/>
        <v>470.89041095890411</v>
      </c>
      <c r="J517" s="72" t="s">
        <v>1081</v>
      </c>
      <c r="K517" s="74">
        <v>8.76</v>
      </c>
      <c r="L517" s="72" t="s">
        <v>702</v>
      </c>
      <c r="M517" s="72" t="s">
        <v>1082</v>
      </c>
      <c r="N517" s="72">
        <v>421</v>
      </c>
      <c r="O517" s="46">
        <v>4125</v>
      </c>
      <c r="P517" s="72" t="s">
        <v>1083</v>
      </c>
      <c r="Q517" s="72" t="s">
        <v>1084</v>
      </c>
      <c r="R517" s="72" t="s">
        <v>1085</v>
      </c>
      <c r="S517" s="72" t="s">
        <v>988</v>
      </c>
      <c r="T517" s="72" t="s">
        <v>1086</v>
      </c>
      <c r="U517" s="72" t="s">
        <v>1087</v>
      </c>
      <c r="V517" s="72" t="s">
        <v>1088</v>
      </c>
      <c r="W517" s="72" t="s">
        <v>1089</v>
      </c>
      <c r="X517" s="72">
        <v>110399</v>
      </c>
      <c r="Y517" s="72">
        <v>318000</v>
      </c>
      <c r="Z517" s="72">
        <v>1</v>
      </c>
      <c r="AA517" s="72">
        <v>0</v>
      </c>
      <c r="AB517" s="72" t="s">
        <v>1090</v>
      </c>
    </row>
    <row r="518" spans="1:28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9"/>
        <v>220.7177814029364</v>
      </c>
      <c r="J518" s="71" t="s">
        <v>1091</v>
      </c>
      <c r="K518" s="74">
        <v>6.13</v>
      </c>
      <c r="L518" s="71" t="s">
        <v>1092</v>
      </c>
      <c r="M518" s="71" t="s">
        <v>1093</v>
      </c>
      <c r="N518" s="71">
        <v>517</v>
      </c>
      <c r="O518" s="46">
        <v>1353</v>
      </c>
      <c r="P518" s="71" t="s">
        <v>1094</v>
      </c>
      <c r="Q518" s="71" t="s">
        <v>1095</v>
      </c>
      <c r="R518" s="71" t="s">
        <v>1096</v>
      </c>
      <c r="S518" s="71" t="s">
        <v>685</v>
      </c>
      <c r="T518" s="71" t="s">
        <v>1097</v>
      </c>
      <c r="U518" s="71" t="s">
        <v>1098</v>
      </c>
      <c r="V518" s="71" t="s">
        <v>1099</v>
      </c>
      <c r="W518" s="71" t="s">
        <v>1100</v>
      </c>
      <c r="X518" s="71">
        <v>180154</v>
      </c>
      <c r="Y518" s="71">
        <v>611968</v>
      </c>
      <c r="Z518" s="71">
        <v>0</v>
      </c>
      <c r="AA518" s="71">
        <v>0</v>
      </c>
      <c r="AB518" s="71">
        <v>5</v>
      </c>
    </row>
    <row r="519" spans="1:28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61">
        <v>2467</v>
      </c>
      <c r="G519" s="8" t="s">
        <v>985</v>
      </c>
      <c r="H519" s="6">
        <v>6000</v>
      </c>
      <c r="I519" s="6">
        <f t="shared" si="39"/>
        <v>691.82004089979557</v>
      </c>
      <c r="J519" s="72" t="s">
        <v>1101</v>
      </c>
      <c r="K519" s="74">
        <v>4.8899999999999997</v>
      </c>
      <c r="L519" s="72" t="s">
        <v>998</v>
      </c>
      <c r="M519" s="72" t="s">
        <v>1102</v>
      </c>
      <c r="N519" s="72">
        <v>723</v>
      </c>
      <c r="O519" s="79">
        <v>3383</v>
      </c>
      <c r="P519" s="72" t="s">
        <v>1103</v>
      </c>
      <c r="Q519" s="72" t="s">
        <v>1104</v>
      </c>
      <c r="R519" s="72" t="s">
        <v>1105</v>
      </c>
      <c r="S519" s="72" t="s">
        <v>658</v>
      </c>
      <c r="T519" s="72" t="s">
        <v>1106</v>
      </c>
      <c r="U519" s="72" t="s">
        <v>671</v>
      </c>
      <c r="V519" s="72" t="s">
        <v>975</v>
      </c>
      <c r="W519" s="72" t="s">
        <v>1107</v>
      </c>
      <c r="X519" s="72">
        <v>410857</v>
      </c>
      <c r="Y519" s="72">
        <v>1458095</v>
      </c>
      <c r="Z519" s="72">
        <v>0</v>
      </c>
      <c r="AA519" s="72">
        <v>0</v>
      </c>
      <c r="AB519" s="72" t="s">
        <v>1047</v>
      </c>
    </row>
    <row r="520" spans="1:28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61"/>
      <c r="H520" s="6">
        <f t="shared" ref="H520:H526" si="40">15000/7</f>
        <v>2142.8571428571427</v>
      </c>
      <c r="I520" s="6">
        <f t="shared" si="39"/>
        <v>168.13953488372093</v>
      </c>
      <c r="J520" s="71" t="s">
        <v>1108</v>
      </c>
      <c r="K520" s="73">
        <v>4.3</v>
      </c>
      <c r="L520" s="71" t="s">
        <v>726</v>
      </c>
      <c r="M520" s="71" t="s">
        <v>1109</v>
      </c>
      <c r="N520" s="71">
        <v>497</v>
      </c>
      <c r="O520" s="46">
        <v>723</v>
      </c>
      <c r="P520" s="71" t="s">
        <v>777</v>
      </c>
      <c r="Q520" s="71" t="s">
        <v>1110</v>
      </c>
      <c r="R520" s="71" t="s">
        <v>1111</v>
      </c>
      <c r="S520" s="71" t="s">
        <v>793</v>
      </c>
      <c r="T520" s="71">
        <v>4</v>
      </c>
      <c r="U520" s="71" t="s">
        <v>1112</v>
      </c>
      <c r="V520" s="71" t="s">
        <v>1113</v>
      </c>
      <c r="W520" s="71" t="s">
        <v>1114</v>
      </c>
      <c r="X520" s="71">
        <v>72885</v>
      </c>
      <c r="Y520" s="71">
        <v>107406</v>
      </c>
      <c r="Z520" s="71">
        <v>0</v>
      </c>
      <c r="AA520" s="71">
        <v>0</v>
      </c>
      <c r="AB520" s="71" t="s">
        <v>1115</v>
      </c>
    </row>
    <row r="521" spans="1:28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61"/>
      <c r="H521" s="6">
        <f t="shared" si="40"/>
        <v>2142.8571428571427</v>
      </c>
      <c r="I521" s="6">
        <f t="shared" si="39"/>
        <v>156.9678407350689</v>
      </c>
      <c r="J521" s="72" t="s">
        <v>1116</v>
      </c>
      <c r="K521" s="74">
        <v>6.53</v>
      </c>
      <c r="L521" s="72" t="s">
        <v>1117</v>
      </c>
      <c r="M521" s="72" t="s">
        <v>1118</v>
      </c>
      <c r="N521" s="72" t="s">
        <v>985</v>
      </c>
      <c r="O521" s="46">
        <v>1025</v>
      </c>
      <c r="P521" s="72" t="s">
        <v>985</v>
      </c>
      <c r="Q521" s="72" t="s">
        <v>985</v>
      </c>
      <c r="R521" s="72" t="s">
        <v>1119</v>
      </c>
      <c r="S521" s="72" t="s">
        <v>1120</v>
      </c>
      <c r="T521" s="72" t="s">
        <v>1121</v>
      </c>
      <c r="U521" s="72" t="s">
        <v>1122</v>
      </c>
      <c r="V521" s="72" t="s">
        <v>1123</v>
      </c>
      <c r="W521" s="72" t="s">
        <v>1124</v>
      </c>
      <c r="X521" s="72" t="s">
        <v>985</v>
      </c>
      <c r="Y521" s="72" t="s">
        <v>985</v>
      </c>
      <c r="Z521" s="72">
        <v>1</v>
      </c>
      <c r="AA521" s="72" t="s">
        <v>985</v>
      </c>
      <c r="AB521" s="72" t="s">
        <v>1125</v>
      </c>
    </row>
    <row r="522" spans="1:28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40"/>
        <v>2142.8571428571427</v>
      </c>
      <c r="I522" s="6">
        <f t="shared" si="39"/>
        <v>155.29411764705884</v>
      </c>
      <c r="J522" s="72" t="s">
        <v>1126</v>
      </c>
      <c r="K522" s="74">
        <v>6.8</v>
      </c>
      <c r="L522" s="72" t="s">
        <v>777</v>
      </c>
      <c r="M522" s="72" t="s">
        <v>1127</v>
      </c>
      <c r="N522" s="72">
        <v>845</v>
      </c>
      <c r="O522" s="46">
        <v>1056</v>
      </c>
      <c r="P522" s="72" t="s">
        <v>1128</v>
      </c>
      <c r="Q522" s="72" t="s">
        <v>1129</v>
      </c>
      <c r="R522" s="72" t="s">
        <v>1130</v>
      </c>
      <c r="S522" s="72" t="s">
        <v>567</v>
      </c>
      <c r="T522" s="72" t="s">
        <v>1131</v>
      </c>
      <c r="U522" s="72" t="s">
        <v>1132</v>
      </c>
      <c r="V522" s="72" t="s">
        <v>1133</v>
      </c>
      <c r="W522" s="72" t="s">
        <v>1134</v>
      </c>
      <c r="X522" s="72">
        <v>34794</v>
      </c>
      <c r="Y522" s="72">
        <v>68685</v>
      </c>
      <c r="Z522" s="72" t="s">
        <v>602</v>
      </c>
      <c r="AA522" s="72">
        <v>0</v>
      </c>
      <c r="AB522" s="72">
        <v>42</v>
      </c>
    </row>
    <row r="523" spans="1:28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40"/>
        <v>2142.8571428571427</v>
      </c>
      <c r="I523" s="6">
        <f t="shared" si="39"/>
        <v>310.79234972677597</v>
      </c>
      <c r="J523" s="72" t="s">
        <v>1048</v>
      </c>
      <c r="K523" s="74">
        <v>7.32</v>
      </c>
      <c r="L523" s="72" t="s">
        <v>734</v>
      </c>
      <c r="M523" s="72" t="s">
        <v>1135</v>
      </c>
      <c r="N523" s="72">
        <v>1110</v>
      </c>
      <c r="O523" s="46">
        <v>2275</v>
      </c>
      <c r="P523" s="72" t="s">
        <v>946</v>
      </c>
      <c r="Q523" s="72" t="s">
        <v>1136</v>
      </c>
      <c r="R523" s="72" t="s">
        <v>727</v>
      </c>
      <c r="S523" s="72" t="s">
        <v>839</v>
      </c>
      <c r="T523" s="72" t="s">
        <v>912</v>
      </c>
      <c r="U523" s="72" t="s">
        <v>986</v>
      </c>
      <c r="V523" s="72" t="s">
        <v>1137</v>
      </c>
      <c r="W523" s="72" t="s">
        <v>1138</v>
      </c>
      <c r="X523" s="72">
        <v>146952</v>
      </c>
      <c r="Y523" s="72">
        <v>276852</v>
      </c>
      <c r="Z523" s="72" t="s">
        <v>621</v>
      </c>
      <c r="AA523" s="72">
        <v>0</v>
      </c>
      <c r="AB523" s="72" t="s">
        <v>1139</v>
      </c>
    </row>
    <row r="524" spans="1:28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40"/>
        <v>2142.8571428571427</v>
      </c>
      <c r="I524" s="6">
        <f t="shared" si="39"/>
        <v>311.08126259234382</v>
      </c>
      <c r="J524" s="72" t="s">
        <v>1140</v>
      </c>
      <c r="K524" s="74">
        <v>14.89</v>
      </c>
      <c r="L524" s="72" t="s">
        <v>585</v>
      </c>
      <c r="M524" s="72">
        <v>6</v>
      </c>
      <c r="N524" s="72">
        <v>1922</v>
      </c>
      <c r="O524" s="46">
        <v>4632</v>
      </c>
      <c r="P524" s="72" t="s">
        <v>743</v>
      </c>
      <c r="Q524" s="72" t="s">
        <v>1141</v>
      </c>
      <c r="R524" s="72" t="s">
        <v>1142</v>
      </c>
      <c r="S524" s="72" t="s">
        <v>749</v>
      </c>
      <c r="T524" s="72" t="s">
        <v>1143</v>
      </c>
      <c r="U524" s="72" t="s">
        <v>1144</v>
      </c>
      <c r="V524" s="72" t="s">
        <v>782</v>
      </c>
      <c r="W524" s="72" t="s">
        <v>1145</v>
      </c>
      <c r="X524" s="72">
        <v>90573</v>
      </c>
      <c r="Y524" s="72">
        <v>196543</v>
      </c>
      <c r="Z524" s="72" t="s">
        <v>580</v>
      </c>
      <c r="AA524" s="72">
        <v>0</v>
      </c>
      <c r="AB524" s="72">
        <v>87</v>
      </c>
    </row>
    <row r="525" spans="1:28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40"/>
        <v>2142.8571428571427</v>
      </c>
      <c r="I525" s="6">
        <f t="shared" si="39"/>
        <v>362.18611521418023</v>
      </c>
      <c r="J525" s="71" t="s">
        <v>902</v>
      </c>
      <c r="K525" s="73">
        <v>6.77</v>
      </c>
      <c r="L525" s="71" t="s">
        <v>1146</v>
      </c>
      <c r="M525" s="71" t="s">
        <v>1147</v>
      </c>
      <c r="N525" s="71">
        <v>815</v>
      </c>
      <c r="O525" s="46">
        <v>2452</v>
      </c>
      <c r="P525" s="71" t="s">
        <v>1148</v>
      </c>
      <c r="Q525" s="71" t="s">
        <v>1149</v>
      </c>
      <c r="R525" s="71" t="s">
        <v>1150</v>
      </c>
      <c r="S525" s="71" t="s">
        <v>1151</v>
      </c>
      <c r="T525" s="71" t="s">
        <v>1152</v>
      </c>
      <c r="U525" s="71" t="s">
        <v>1153</v>
      </c>
      <c r="V525" s="71" t="s">
        <v>1154</v>
      </c>
      <c r="W525" s="71" t="s">
        <v>1155</v>
      </c>
      <c r="X525" s="71">
        <v>111214</v>
      </c>
      <c r="Y525" s="71">
        <v>320452</v>
      </c>
      <c r="Z525" s="71" t="s">
        <v>580</v>
      </c>
      <c r="AA525" s="71">
        <v>0</v>
      </c>
      <c r="AB525" s="71" t="s">
        <v>1156</v>
      </c>
    </row>
    <row r="526" spans="1:28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40"/>
        <v>2142.8571428571427</v>
      </c>
      <c r="I526" s="6">
        <f t="shared" si="39"/>
        <v>669.78193146417448</v>
      </c>
      <c r="J526" s="72" t="s">
        <v>1157</v>
      </c>
      <c r="K526" s="73">
        <v>6.42</v>
      </c>
      <c r="L526" s="72" t="s">
        <v>955</v>
      </c>
      <c r="M526" s="72" t="s">
        <v>1158</v>
      </c>
      <c r="N526" s="72">
        <v>1042</v>
      </c>
      <c r="O526" s="46">
        <v>4300</v>
      </c>
      <c r="P526" s="72" t="s">
        <v>1159</v>
      </c>
      <c r="Q526" s="72" t="s">
        <v>844</v>
      </c>
      <c r="R526" s="72" t="s">
        <v>1087</v>
      </c>
      <c r="S526" s="72" t="s">
        <v>567</v>
      </c>
      <c r="T526" s="72" t="s">
        <v>1160</v>
      </c>
      <c r="U526" s="72" t="s">
        <v>736</v>
      </c>
      <c r="V526" s="72" t="s">
        <v>1161</v>
      </c>
      <c r="W526" s="72" t="s">
        <v>1162</v>
      </c>
      <c r="X526" s="72">
        <v>181196</v>
      </c>
      <c r="Y526" s="72">
        <v>616268</v>
      </c>
      <c r="Z526" s="72">
        <v>0</v>
      </c>
      <c r="AA526" s="72">
        <v>0</v>
      </c>
      <c r="AB526" s="72">
        <v>5</v>
      </c>
    </row>
    <row r="527" spans="1:28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61">
        <v>3244</v>
      </c>
      <c r="G527" s="8" t="s">
        <v>985</v>
      </c>
      <c r="H527" s="6">
        <v>6000</v>
      </c>
      <c r="I527" s="6">
        <f t="shared" si="39"/>
        <v>811.86440677966107</v>
      </c>
      <c r="J527" s="71" t="s">
        <v>1163</v>
      </c>
      <c r="K527" s="73">
        <v>4.72</v>
      </c>
      <c r="L527" s="71" t="s">
        <v>585</v>
      </c>
      <c r="M527" s="71" t="s">
        <v>1164</v>
      </c>
      <c r="N527" s="71">
        <v>725</v>
      </c>
      <c r="O527" s="79">
        <v>3832</v>
      </c>
      <c r="P527" s="71" t="s">
        <v>565</v>
      </c>
      <c r="Q527" s="71" t="s">
        <v>1165</v>
      </c>
      <c r="R527" s="71" t="s">
        <v>1166</v>
      </c>
      <c r="S527" s="71" t="s">
        <v>961</v>
      </c>
      <c r="T527" s="71" t="s">
        <v>1167</v>
      </c>
      <c r="U527" s="71" t="s">
        <v>1168</v>
      </c>
      <c r="V527" s="71" t="s">
        <v>975</v>
      </c>
      <c r="W527" s="71" t="s">
        <v>1169</v>
      </c>
      <c r="X527" s="71">
        <v>411582</v>
      </c>
      <c r="Y527" s="71">
        <v>1461927</v>
      </c>
      <c r="Z527" s="71">
        <v>0</v>
      </c>
      <c r="AA527" s="71">
        <v>0</v>
      </c>
      <c r="AB527" s="71" t="s">
        <v>1047</v>
      </c>
    </row>
    <row r="528" spans="1:28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61"/>
      <c r="H528" s="6">
        <f t="shared" ref="H528:H534" si="41">15000/7</f>
        <v>2142.8571428571427</v>
      </c>
      <c r="I528" s="6">
        <f t="shared" si="39"/>
        <v>94.896551724137936</v>
      </c>
      <c r="J528" s="72" t="s">
        <v>1170</v>
      </c>
      <c r="K528" s="74">
        <v>7.25</v>
      </c>
      <c r="L528" s="72" t="s">
        <v>602</v>
      </c>
      <c r="M528" s="72" t="s">
        <v>1171</v>
      </c>
      <c r="N528" s="72">
        <v>434</v>
      </c>
      <c r="O528" s="46">
        <v>688</v>
      </c>
      <c r="P528" s="72" t="s">
        <v>1172</v>
      </c>
      <c r="Q528" s="72" t="s">
        <v>1173</v>
      </c>
      <c r="R528" s="72" t="s">
        <v>1174</v>
      </c>
      <c r="S528" s="72" t="s">
        <v>685</v>
      </c>
      <c r="T528" s="72" t="s">
        <v>1175</v>
      </c>
      <c r="U528" s="72" t="s">
        <v>1176</v>
      </c>
      <c r="V528" s="72" t="s">
        <v>1177</v>
      </c>
      <c r="W528" s="72" t="s">
        <v>1178</v>
      </c>
      <c r="X528" s="72">
        <v>73319</v>
      </c>
      <c r="Y528" s="72">
        <v>108094</v>
      </c>
      <c r="Z528" s="72">
        <v>1</v>
      </c>
      <c r="AA528" s="72">
        <v>0</v>
      </c>
      <c r="AB528" s="72" t="s">
        <v>1179</v>
      </c>
    </row>
    <row r="529" spans="1:28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61"/>
      <c r="H529" s="6">
        <f t="shared" si="41"/>
        <v>2142.8571428571427</v>
      </c>
      <c r="I529" s="6">
        <f t="shared" si="39"/>
        <v>191.36807817589579</v>
      </c>
      <c r="J529" s="72" t="s">
        <v>1180</v>
      </c>
      <c r="K529" s="74">
        <v>6.14</v>
      </c>
      <c r="L529" s="72" t="s">
        <v>734</v>
      </c>
      <c r="M529" s="72" t="s">
        <v>1181</v>
      </c>
      <c r="N529" s="72" t="s">
        <v>985</v>
      </c>
      <c r="O529" s="46">
        <v>1175</v>
      </c>
      <c r="P529" s="72" t="s">
        <v>985</v>
      </c>
      <c r="Q529" s="72" t="s">
        <v>985</v>
      </c>
      <c r="R529" s="72" t="s">
        <v>1182</v>
      </c>
      <c r="S529" s="72" t="s">
        <v>749</v>
      </c>
      <c r="T529" s="72" t="s">
        <v>1183</v>
      </c>
      <c r="U529" s="72" t="s">
        <v>939</v>
      </c>
      <c r="V529" s="72" t="s">
        <v>1184</v>
      </c>
      <c r="W529" s="72" t="s">
        <v>1185</v>
      </c>
      <c r="X529" s="72" t="s">
        <v>985</v>
      </c>
      <c r="Y529" s="72" t="s">
        <v>985</v>
      </c>
      <c r="Z529" s="72" t="s">
        <v>719</v>
      </c>
      <c r="AA529" s="72" t="s">
        <v>985</v>
      </c>
      <c r="AB529" s="72" t="s">
        <v>578</v>
      </c>
    </row>
    <row r="530" spans="1:28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1"/>
        <v>2142.8571428571427</v>
      </c>
      <c r="I530" s="6">
        <f t="shared" si="39"/>
        <v>229.69230769230768</v>
      </c>
      <c r="J530" s="72" t="s">
        <v>1186</v>
      </c>
      <c r="K530" s="74">
        <v>6.5</v>
      </c>
      <c r="L530" s="72" t="s">
        <v>1187</v>
      </c>
      <c r="M530" s="72" t="s">
        <v>1188</v>
      </c>
      <c r="N530" s="72">
        <v>752</v>
      </c>
      <c r="O530" s="46">
        <v>1493</v>
      </c>
      <c r="P530" s="72" t="s">
        <v>1189</v>
      </c>
      <c r="Q530" s="72" t="s">
        <v>900</v>
      </c>
      <c r="R530" s="72" t="s">
        <v>1190</v>
      </c>
      <c r="S530" s="72" t="s">
        <v>658</v>
      </c>
      <c r="T530" s="72" t="s">
        <v>1191</v>
      </c>
      <c r="U530" s="72" t="s">
        <v>1192</v>
      </c>
      <c r="V530" s="72" t="s">
        <v>1193</v>
      </c>
      <c r="W530" s="72" t="s">
        <v>1194</v>
      </c>
      <c r="X530" s="72">
        <v>35546</v>
      </c>
      <c r="Y530" s="72">
        <v>70178</v>
      </c>
      <c r="Z530" s="72" t="s">
        <v>580</v>
      </c>
      <c r="AA530" s="72">
        <v>0</v>
      </c>
      <c r="AB530" s="72" t="s">
        <v>1195</v>
      </c>
    </row>
    <row r="531" spans="1:28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1"/>
        <v>2142.8571428571427</v>
      </c>
      <c r="I531" s="6">
        <f t="shared" si="39"/>
        <v>349.51185495118551</v>
      </c>
      <c r="J531" s="72" t="s">
        <v>1196</v>
      </c>
      <c r="K531" s="74">
        <v>7.17</v>
      </c>
      <c r="L531" s="72" t="s">
        <v>777</v>
      </c>
      <c r="M531" s="72" t="s">
        <v>1197</v>
      </c>
      <c r="N531" s="72">
        <v>1137</v>
      </c>
      <c r="O531" s="46">
        <v>2506</v>
      </c>
      <c r="P531" s="72" t="s">
        <v>693</v>
      </c>
      <c r="Q531" s="72" t="s">
        <v>1198</v>
      </c>
      <c r="R531" s="72" t="s">
        <v>995</v>
      </c>
      <c r="S531" s="72" t="s">
        <v>839</v>
      </c>
      <c r="T531" s="72" t="s">
        <v>1199</v>
      </c>
      <c r="U531" s="72">
        <v>150</v>
      </c>
      <c r="V531" s="72" t="s">
        <v>1200</v>
      </c>
      <c r="W531" s="72" t="s">
        <v>1201</v>
      </c>
      <c r="X531" s="72">
        <v>148089</v>
      </c>
      <c r="Y531" s="72">
        <v>279358</v>
      </c>
      <c r="Z531" s="72" t="s">
        <v>800</v>
      </c>
      <c r="AA531" s="72">
        <v>0</v>
      </c>
      <c r="AB531" s="72" t="s">
        <v>1202</v>
      </c>
    </row>
    <row r="532" spans="1:28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1"/>
        <v>2142.8571428571427</v>
      </c>
      <c r="I532" s="6">
        <f t="shared" si="39"/>
        <v>253.39901477832512</v>
      </c>
      <c r="J532" s="71" t="s">
        <v>1203</v>
      </c>
      <c r="K532" s="73">
        <v>10.15</v>
      </c>
      <c r="L532" s="71" t="s">
        <v>719</v>
      </c>
      <c r="M532" s="71" t="s">
        <v>1204</v>
      </c>
      <c r="N532" s="71">
        <v>1456</v>
      </c>
      <c r="O532" s="46">
        <v>2572</v>
      </c>
      <c r="P532" s="71" t="s">
        <v>1205</v>
      </c>
      <c r="Q532" s="71" t="s">
        <v>1206</v>
      </c>
      <c r="R532" s="71" t="s">
        <v>1207</v>
      </c>
      <c r="S532" s="71" t="s">
        <v>1208</v>
      </c>
      <c r="T532" s="71" t="s">
        <v>582</v>
      </c>
      <c r="U532" s="71" t="s">
        <v>1209</v>
      </c>
      <c r="V532" s="71" t="s">
        <v>1210</v>
      </c>
      <c r="W532" s="71" t="s">
        <v>1211</v>
      </c>
      <c r="X532" s="71">
        <v>92029</v>
      </c>
      <c r="Y532" s="71">
        <v>199731</v>
      </c>
      <c r="Z532" s="71" t="s">
        <v>719</v>
      </c>
      <c r="AA532" s="71">
        <v>0</v>
      </c>
      <c r="AB532" s="71" t="s">
        <v>1212</v>
      </c>
    </row>
    <row r="533" spans="1:28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1"/>
        <v>2142.8571428571427</v>
      </c>
      <c r="I533" s="6">
        <f t="shared" si="39"/>
        <v>363.45966958211858</v>
      </c>
      <c r="J533" s="72" t="s">
        <v>1213</v>
      </c>
      <c r="K533" s="73">
        <v>10.29</v>
      </c>
      <c r="L533" s="72">
        <v>3</v>
      </c>
      <c r="M533" s="72" t="s">
        <v>562</v>
      </c>
      <c r="N533" s="72">
        <v>985</v>
      </c>
      <c r="O533" s="46">
        <v>3740</v>
      </c>
      <c r="P533" s="72" t="s">
        <v>1214</v>
      </c>
      <c r="Q533" s="72" t="s">
        <v>1215</v>
      </c>
      <c r="R533" s="72" t="s">
        <v>1025</v>
      </c>
      <c r="S533" s="72" t="s">
        <v>1216</v>
      </c>
      <c r="T533" s="72" t="s">
        <v>961</v>
      </c>
      <c r="U533" s="72" t="s">
        <v>1217</v>
      </c>
      <c r="V533" s="72" t="s">
        <v>1218</v>
      </c>
      <c r="W533" s="72" t="s">
        <v>1219</v>
      </c>
      <c r="X533" s="72">
        <v>112199</v>
      </c>
      <c r="Y533" s="72">
        <v>324192</v>
      </c>
      <c r="Z533" s="72" t="s">
        <v>800</v>
      </c>
      <c r="AA533" s="72">
        <v>0</v>
      </c>
      <c r="AB533" s="72" t="s">
        <v>1220</v>
      </c>
    </row>
    <row r="534" spans="1:28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1"/>
        <v>2142.8571428571427</v>
      </c>
      <c r="I534" s="6">
        <f t="shared" si="39"/>
        <v>469.46564885496178</v>
      </c>
      <c r="J534" s="71" t="s">
        <v>1221</v>
      </c>
      <c r="K534" s="73">
        <v>3.93</v>
      </c>
      <c r="L534" s="71" t="s">
        <v>1222</v>
      </c>
      <c r="M534" s="71" t="s">
        <v>1223</v>
      </c>
      <c r="N534" s="71">
        <v>535</v>
      </c>
      <c r="O534" s="46">
        <v>1845</v>
      </c>
      <c r="P534" s="71" t="s">
        <v>1224</v>
      </c>
      <c r="Q534" s="71" t="s">
        <v>1225</v>
      </c>
      <c r="R534" s="71" t="s">
        <v>1226</v>
      </c>
      <c r="S534" s="71" t="s">
        <v>1120</v>
      </c>
      <c r="T534" s="71" t="s">
        <v>1227</v>
      </c>
      <c r="U534" s="71" t="s">
        <v>1228</v>
      </c>
      <c r="V534" s="71" t="s">
        <v>832</v>
      </c>
      <c r="W534" s="71" t="s">
        <v>1229</v>
      </c>
      <c r="X534" s="71">
        <v>181731</v>
      </c>
      <c r="Y534" s="71">
        <v>618113</v>
      </c>
      <c r="Z534" s="71">
        <v>0</v>
      </c>
      <c r="AA534" s="71">
        <v>0</v>
      </c>
      <c r="AB534" s="71">
        <v>5</v>
      </c>
    </row>
    <row r="535" spans="1:28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61" t="s">
        <v>146</v>
      </c>
      <c r="H535" s="6" t="s">
        <v>985</v>
      </c>
      <c r="I535" s="6">
        <f t="shared" si="39"/>
        <v>0</v>
      </c>
      <c r="J535" s="72" t="s">
        <v>618</v>
      </c>
      <c r="K535" s="74">
        <v>0.5</v>
      </c>
      <c r="L535" s="72" t="s">
        <v>800</v>
      </c>
      <c r="M535" s="72" t="s">
        <v>1230</v>
      </c>
      <c r="N535" s="72">
        <v>28</v>
      </c>
      <c r="O535" s="79">
        <v>0</v>
      </c>
      <c r="P535" s="72" t="s">
        <v>1231</v>
      </c>
      <c r="Q535" s="72" t="s">
        <v>1232</v>
      </c>
      <c r="R535" s="72" t="s">
        <v>1233</v>
      </c>
      <c r="S535" s="72" t="s">
        <v>583</v>
      </c>
      <c r="T535" s="72" t="s">
        <v>1120</v>
      </c>
      <c r="U535" s="72" t="s">
        <v>1234</v>
      </c>
      <c r="V535" s="72" t="s">
        <v>1235</v>
      </c>
      <c r="W535" s="72" t="s">
        <v>1236</v>
      </c>
      <c r="X535" s="72">
        <v>411610</v>
      </c>
      <c r="Y535" s="72">
        <v>1462081</v>
      </c>
      <c r="Z535" s="72">
        <v>0</v>
      </c>
      <c r="AA535" s="72">
        <v>0</v>
      </c>
      <c r="AB535" s="72" t="s">
        <v>1047</v>
      </c>
    </row>
    <row r="536" spans="1:28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61"/>
      <c r="H536" s="6">
        <f t="shared" ref="H536:H542" si="42">15000/7</f>
        <v>2142.8571428571427</v>
      </c>
      <c r="I536" s="6">
        <f t="shared" si="39"/>
        <v>268.32797427652736</v>
      </c>
      <c r="J536" s="72" t="s">
        <v>1237</v>
      </c>
      <c r="K536" s="74">
        <v>6.22</v>
      </c>
      <c r="L536" s="72" t="s">
        <v>946</v>
      </c>
      <c r="M536" s="72" t="s">
        <v>1238</v>
      </c>
      <c r="N536" s="72">
        <v>1046</v>
      </c>
      <c r="O536" s="46">
        <v>1669</v>
      </c>
      <c r="P536" s="72" t="s">
        <v>817</v>
      </c>
      <c r="Q536" s="72" t="s">
        <v>1239</v>
      </c>
      <c r="R536" s="72" t="s">
        <v>1240</v>
      </c>
      <c r="S536" s="72" t="s">
        <v>611</v>
      </c>
      <c r="T536" s="72" t="s">
        <v>659</v>
      </c>
      <c r="U536" s="72" t="s">
        <v>973</v>
      </c>
      <c r="V536" s="72" t="s">
        <v>1241</v>
      </c>
      <c r="W536" s="72" t="s">
        <v>1242</v>
      </c>
      <c r="X536" s="72">
        <v>74365</v>
      </c>
      <c r="Y536" s="72">
        <v>109763</v>
      </c>
      <c r="Z536" s="72" t="s">
        <v>649</v>
      </c>
      <c r="AA536" s="72">
        <v>0</v>
      </c>
      <c r="AB536" s="72" t="s">
        <v>1243</v>
      </c>
    </row>
    <row r="537" spans="1:28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61"/>
      <c r="H537" s="6">
        <f t="shared" si="42"/>
        <v>2142.8571428571427</v>
      </c>
      <c r="I537" s="6">
        <f t="shared" si="39"/>
        <v>284.21052631578948</v>
      </c>
      <c r="J537" s="72" t="s">
        <v>1244</v>
      </c>
      <c r="K537" s="74">
        <v>4.75</v>
      </c>
      <c r="L537" s="72" t="s">
        <v>1245</v>
      </c>
      <c r="M537" s="72" t="s">
        <v>1246</v>
      </c>
      <c r="N537" s="72" t="s">
        <v>985</v>
      </c>
      <c r="O537" s="46">
        <v>1350</v>
      </c>
      <c r="P537" s="72" t="s">
        <v>985</v>
      </c>
      <c r="Q537" s="72" t="s">
        <v>985</v>
      </c>
      <c r="R537" s="72" t="s">
        <v>1247</v>
      </c>
      <c r="S537" s="72" t="s">
        <v>1248</v>
      </c>
      <c r="T537" s="72" t="s">
        <v>1249</v>
      </c>
      <c r="U537" s="72" t="s">
        <v>1250</v>
      </c>
      <c r="V537" s="72" t="s">
        <v>1251</v>
      </c>
      <c r="W537" s="72" t="s">
        <v>1252</v>
      </c>
      <c r="X537" s="72" t="s">
        <v>985</v>
      </c>
      <c r="Y537" s="72" t="s">
        <v>985</v>
      </c>
      <c r="Z537" s="72" t="s">
        <v>561</v>
      </c>
      <c r="AA537" s="72" t="s">
        <v>985</v>
      </c>
      <c r="AB537" s="72" t="s">
        <v>1253</v>
      </c>
    </row>
    <row r="538" spans="1:28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2"/>
        <v>2142.8571428571427</v>
      </c>
      <c r="I538" s="6">
        <f t="shared" si="39"/>
        <v>66.372795969773293</v>
      </c>
      <c r="J538" s="72" t="s">
        <v>1254</v>
      </c>
      <c r="K538" s="74">
        <v>7.94</v>
      </c>
      <c r="L538" s="72" t="s">
        <v>1255</v>
      </c>
      <c r="M538" s="72" t="s">
        <v>1256</v>
      </c>
      <c r="N538" s="72">
        <v>654</v>
      </c>
      <c r="O538" s="46">
        <v>527</v>
      </c>
      <c r="P538" s="72" t="s">
        <v>1257</v>
      </c>
      <c r="Q538" s="72" t="s">
        <v>628</v>
      </c>
      <c r="R538" s="72" t="s">
        <v>1258</v>
      </c>
      <c r="S538" s="72" t="s">
        <v>627</v>
      </c>
      <c r="T538" s="72" t="s">
        <v>1259</v>
      </c>
      <c r="U538" s="72" t="s">
        <v>1260</v>
      </c>
      <c r="V538" s="72" t="s">
        <v>1261</v>
      </c>
      <c r="W538" s="72" t="s">
        <v>1262</v>
      </c>
      <c r="X538" s="72">
        <v>36200</v>
      </c>
      <c r="Y538" s="72">
        <v>70705</v>
      </c>
      <c r="Z538" s="72" t="s">
        <v>719</v>
      </c>
      <c r="AA538" s="72">
        <v>0</v>
      </c>
      <c r="AB538" s="72" t="s">
        <v>1263</v>
      </c>
    </row>
    <row r="539" spans="1:28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2"/>
        <v>2142.8571428571427</v>
      </c>
      <c r="I539" s="6">
        <f t="shared" si="39"/>
        <v>439.15416098226467</v>
      </c>
      <c r="J539" s="71" t="s">
        <v>983</v>
      </c>
      <c r="K539" s="74">
        <v>7.33</v>
      </c>
      <c r="L539" s="71" t="s">
        <v>777</v>
      </c>
      <c r="M539" s="71" t="s">
        <v>1264</v>
      </c>
      <c r="N539" s="71">
        <v>1333</v>
      </c>
      <c r="O539" s="46">
        <v>3219</v>
      </c>
      <c r="P539" s="71" t="s">
        <v>743</v>
      </c>
      <c r="Q539" s="71" t="s">
        <v>1265</v>
      </c>
      <c r="R539" s="71" t="s">
        <v>1266</v>
      </c>
      <c r="S539" s="71" t="s">
        <v>658</v>
      </c>
      <c r="T539" s="71" t="s">
        <v>1267</v>
      </c>
      <c r="U539" s="71" t="s">
        <v>1268</v>
      </c>
      <c r="V539" s="71" t="s">
        <v>1078</v>
      </c>
      <c r="W539" s="71" t="s">
        <v>1269</v>
      </c>
      <c r="X539" s="71">
        <v>149422</v>
      </c>
      <c r="Y539" s="71">
        <v>282577</v>
      </c>
      <c r="Z539" s="71" t="s">
        <v>649</v>
      </c>
      <c r="AA539" s="71">
        <v>0</v>
      </c>
      <c r="AB539" s="71" t="s">
        <v>1270</v>
      </c>
    </row>
    <row r="540" spans="1:28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2"/>
        <v>2142.8571428571427</v>
      </c>
      <c r="I540" s="6">
        <f t="shared" ref="I540:I571" si="43">IFERROR(O540/K540,)</f>
        <v>296.55831739961758</v>
      </c>
      <c r="J540" s="72" t="s">
        <v>1271</v>
      </c>
      <c r="K540" s="74">
        <v>10.46</v>
      </c>
      <c r="L540" s="72" t="s">
        <v>1272</v>
      </c>
      <c r="M540" s="72" t="s">
        <v>1273</v>
      </c>
      <c r="N540" s="72">
        <v>1189</v>
      </c>
      <c r="O540" s="46">
        <v>3102</v>
      </c>
      <c r="P540" s="72" t="s">
        <v>1274</v>
      </c>
      <c r="Q540" s="72" t="s">
        <v>1275</v>
      </c>
      <c r="R540" s="72" t="s">
        <v>1276</v>
      </c>
      <c r="S540" s="72" t="s">
        <v>1151</v>
      </c>
      <c r="T540" s="72" t="s">
        <v>1277</v>
      </c>
      <c r="U540" s="72" t="s">
        <v>1278</v>
      </c>
      <c r="V540" s="72" t="s">
        <v>1279</v>
      </c>
      <c r="W540" s="72" t="s">
        <v>1280</v>
      </c>
      <c r="X540" s="72">
        <v>93218</v>
      </c>
      <c r="Y540" s="72">
        <v>202833</v>
      </c>
      <c r="Z540" s="72" t="s">
        <v>602</v>
      </c>
      <c r="AA540" s="72">
        <v>0</v>
      </c>
      <c r="AB540" s="72" t="s">
        <v>1281</v>
      </c>
    </row>
    <row r="541" spans="1:28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2"/>
        <v>2142.8571428571427</v>
      </c>
      <c r="I541" s="6">
        <f t="shared" si="43"/>
        <v>352.11822660098522</v>
      </c>
      <c r="J541" s="71">
        <v>12</v>
      </c>
      <c r="K541" s="73">
        <v>10.15</v>
      </c>
      <c r="L541" s="71" t="s">
        <v>1187</v>
      </c>
      <c r="M541" s="71" t="s">
        <v>1282</v>
      </c>
      <c r="N541" s="71">
        <v>916</v>
      </c>
      <c r="O541" s="46">
        <v>3574</v>
      </c>
      <c r="P541" s="71" t="s">
        <v>771</v>
      </c>
      <c r="Q541" s="71" t="s">
        <v>1283</v>
      </c>
      <c r="R541" s="71" t="s">
        <v>1284</v>
      </c>
      <c r="S541" s="71" t="s">
        <v>1248</v>
      </c>
      <c r="T541" s="71" t="s">
        <v>1285</v>
      </c>
      <c r="U541" s="71" t="s">
        <v>695</v>
      </c>
      <c r="V541" s="71" t="s">
        <v>1286</v>
      </c>
      <c r="W541" s="71" t="s">
        <v>1287</v>
      </c>
      <c r="X541" s="71">
        <v>113115</v>
      </c>
      <c r="Y541" s="71">
        <v>327766</v>
      </c>
      <c r="Z541" s="71" t="s">
        <v>719</v>
      </c>
      <c r="AA541" s="71">
        <v>0</v>
      </c>
      <c r="AB541" s="71" t="s">
        <v>1288</v>
      </c>
    </row>
    <row r="542" spans="1:28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2"/>
        <v>2142.8571428571427</v>
      </c>
      <c r="I542" s="6">
        <f t="shared" si="43"/>
        <v>300</v>
      </c>
      <c r="J542" s="72" t="s">
        <v>1289</v>
      </c>
      <c r="K542" s="74">
        <v>5.9</v>
      </c>
      <c r="L542" s="72" t="s">
        <v>652</v>
      </c>
      <c r="M542" s="72" t="s">
        <v>1290</v>
      </c>
      <c r="N542" s="72">
        <v>765</v>
      </c>
      <c r="O542" s="46">
        <v>1770</v>
      </c>
      <c r="P542" s="72" t="s">
        <v>1291</v>
      </c>
      <c r="Q542" s="72" t="s">
        <v>1292</v>
      </c>
      <c r="R542" s="72" t="s">
        <v>1293</v>
      </c>
      <c r="S542" s="72" t="s">
        <v>712</v>
      </c>
      <c r="T542" s="72" t="s">
        <v>839</v>
      </c>
      <c r="U542" s="72" t="s">
        <v>597</v>
      </c>
      <c r="V542" s="72" t="s">
        <v>963</v>
      </c>
      <c r="W542" s="72" t="s">
        <v>1294</v>
      </c>
      <c r="X542" s="72">
        <v>182496</v>
      </c>
      <c r="Y542" s="72">
        <v>620509</v>
      </c>
      <c r="Z542" s="72" t="s">
        <v>649</v>
      </c>
      <c r="AA542" s="72">
        <v>0</v>
      </c>
      <c r="AB542" s="72" t="s">
        <v>1295</v>
      </c>
    </row>
    <row r="543" spans="1:28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61" t="s">
        <v>42</v>
      </c>
      <c r="G543" s="8" t="s">
        <v>985</v>
      </c>
      <c r="H543" s="6">
        <v>6000</v>
      </c>
      <c r="I543" s="6">
        <f t="shared" si="43"/>
        <v>563.69047619047626</v>
      </c>
      <c r="J543" s="72" t="s">
        <v>1296</v>
      </c>
      <c r="K543" s="74">
        <v>3.36</v>
      </c>
      <c r="L543" s="72" t="s">
        <v>803</v>
      </c>
      <c r="M543" s="72" t="s">
        <v>1297</v>
      </c>
      <c r="N543" s="72">
        <v>423</v>
      </c>
      <c r="O543" s="79">
        <v>1894</v>
      </c>
      <c r="P543" s="72" t="s">
        <v>903</v>
      </c>
      <c r="Q543" s="72" t="s">
        <v>1298</v>
      </c>
      <c r="R543" s="72" t="s">
        <v>1299</v>
      </c>
      <c r="S543" s="72" t="s">
        <v>582</v>
      </c>
      <c r="T543" s="72" t="s">
        <v>1300</v>
      </c>
      <c r="U543" s="72" t="s">
        <v>1301</v>
      </c>
      <c r="V543" s="72" t="s">
        <v>764</v>
      </c>
      <c r="W543" s="72" t="s">
        <v>1302</v>
      </c>
      <c r="X543" s="72">
        <v>412033</v>
      </c>
      <c r="Y543" s="72">
        <v>1463975</v>
      </c>
      <c r="Z543" s="72">
        <v>0</v>
      </c>
      <c r="AA543" s="72">
        <v>0</v>
      </c>
      <c r="AB543" s="72" t="s">
        <v>1047</v>
      </c>
    </row>
    <row r="544" spans="1:28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3"/>
        <v>157.53424657534245</v>
      </c>
      <c r="J544" s="72" t="s">
        <v>1303</v>
      </c>
      <c r="K544" s="74">
        <v>5.1100000000000003</v>
      </c>
      <c r="L544" s="72" t="s">
        <v>1092</v>
      </c>
      <c r="M544" s="72" t="s">
        <v>1304</v>
      </c>
      <c r="N544" s="72">
        <v>464</v>
      </c>
      <c r="O544" s="46">
        <v>805</v>
      </c>
      <c r="P544" s="72" t="s">
        <v>993</v>
      </c>
      <c r="Q544" s="72" t="s">
        <v>1305</v>
      </c>
      <c r="R544" s="72" t="s">
        <v>1306</v>
      </c>
      <c r="S544" s="72" t="s">
        <v>582</v>
      </c>
      <c r="T544" s="72" t="s">
        <v>685</v>
      </c>
      <c r="U544" s="72" t="s">
        <v>569</v>
      </c>
      <c r="V544" s="72" t="s">
        <v>1307</v>
      </c>
      <c r="W544" s="72" t="s">
        <v>1308</v>
      </c>
      <c r="X544" s="72">
        <v>74829</v>
      </c>
      <c r="Y544" s="72">
        <v>110568</v>
      </c>
      <c r="Z544" s="72">
        <v>0</v>
      </c>
      <c r="AA544" s="72">
        <v>0</v>
      </c>
      <c r="AB544" s="72" t="s">
        <v>1243</v>
      </c>
    </row>
    <row r="545" spans="1:28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61" t="s">
        <v>146</v>
      </c>
      <c r="H545" s="6" t="s">
        <v>985</v>
      </c>
      <c r="I545" s="6">
        <f t="shared" si="43"/>
        <v>0</v>
      </c>
      <c r="J545" s="72" t="s">
        <v>1309</v>
      </c>
      <c r="K545" s="74">
        <v>0.27</v>
      </c>
      <c r="L545" s="72" t="s">
        <v>1310</v>
      </c>
      <c r="M545" s="72" t="s">
        <v>1311</v>
      </c>
      <c r="N545" s="72">
        <v>0</v>
      </c>
      <c r="O545" s="79">
        <v>0</v>
      </c>
      <c r="P545" s="72" t="s">
        <v>985</v>
      </c>
      <c r="Q545" s="72">
        <v>0</v>
      </c>
      <c r="R545" s="72" t="s">
        <v>712</v>
      </c>
      <c r="S545" s="72" t="s">
        <v>1312</v>
      </c>
      <c r="T545" s="72" t="s">
        <v>1120</v>
      </c>
      <c r="U545" s="72" t="s">
        <v>658</v>
      </c>
      <c r="V545" s="72" t="s">
        <v>1313</v>
      </c>
      <c r="W545" s="72" t="s">
        <v>1314</v>
      </c>
      <c r="X545" s="72">
        <v>412033</v>
      </c>
      <c r="Y545" s="72">
        <v>1463975</v>
      </c>
      <c r="Z545" s="72">
        <v>0</v>
      </c>
      <c r="AA545" s="72" t="s">
        <v>985</v>
      </c>
      <c r="AB545" s="72" t="s">
        <v>1047</v>
      </c>
    </row>
    <row r="546" spans="1:28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4">15000/7</f>
        <v>2142.8571428571427</v>
      </c>
      <c r="I546" s="6">
        <f t="shared" si="43"/>
        <v>157.52032520325204</v>
      </c>
      <c r="J546" s="71" t="s">
        <v>1315</v>
      </c>
      <c r="K546" s="74">
        <v>4.92</v>
      </c>
      <c r="L546" s="71" t="s">
        <v>946</v>
      </c>
      <c r="M546" s="71" t="s">
        <v>1316</v>
      </c>
      <c r="N546" s="71" t="s">
        <v>985</v>
      </c>
      <c r="O546" s="46">
        <v>775</v>
      </c>
      <c r="P546" s="71" t="s">
        <v>985</v>
      </c>
      <c r="Q546" s="71" t="s">
        <v>985</v>
      </c>
      <c r="R546" s="71" t="s">
        <v>566</v>
      </c>
      <c r="S546" s="71" t="s">
        <v>642</v>
      </c>
      <c r="T546" s="71" t="s">
        <v>1317</v>
      </c>
      <c r="U546" s="71" t="s">
        <v>1111</v>
      </c>
      <c r="V546" s="71" t="s">
        <v>1318</v>
      </c>
      <c r="W546" s="71" t="s">
        <v>1319</v>
      </c>
      <c r="X546" s="71" t="s">
        <v>985</v>
      </c>
      <c r="Y546" s="71" t="s">
        <v>985</v>
      </c>
      <c r="Z546" s="71">
        <v>0</v>
      </c>
      <c r="AA546" s="71" t="s">
        <v>985</v>
      </c>
      <c r="AB546" s="71" t="s">
        <v>1253</v>
      </c>
    </row>
    <row r="547" spans="1:28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4"/>
        <v>2142.8571428571427</v>
      </c>
      <c r="I547" s="6">
        <f t="shared" si="43"/>
        <v>110.45918367346938</v>
      </c>
      <c r="J547" s="72" t="s">
        <v>1320</v>
      </c>
      <c r="K547" s="74">
        <v>3.92</v>
      </c>
      <c r="L547" s="72" t="s">
        <v>1321</v>
      </c>
      <c r="M547" s="72" t="s">
        <v>1322</v>
      </c>
      <c r="N547" s="72">
        <v>224</v>
      </c>
      <c r="O547" s="46">
        <v>433</v>
      </c>
      <c r="P547" s="72" t="s">
        <v>1323</v>
      </c>
      <c r="Q547" s="72" t="s">
        <v>1324</v>
      </c>
      <c r="R547" s="72" t="s">
        <v>1325</v>
      </c>
      <c r="S547" s="72" t="s">
        <v>567</v>
      </c>
      <c r="T547" s="72" t="s">
        <v>1326</v>
      </c>
      <c r="U547" s="72" t="s">
        <v>1327</v>
      </c>
      <c r="V547" s="72" t="s">
        <v>1328</v>
      </c>
      <c r="W547" s="72" t="s">
        <v>1329</v>
      </c>
      <c r="X547" s="72">
        <v>36718</v>
      </c>
      <c r="Y547" s="72">
        <v>71552</v>
      </c>
      <c r="Z547" s="72" t="s">
        <v>817</v>
      </c>
      <c r="AA547" s="72" t="s">
        <v>1330</v>
      </c>
      <c r="AB547" s="72" t="s">
        <v>1331</v>
      </c>
    </row>
    <row r="548" spans="1:28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4"/>
        <v>2142.8571428571427</v>
      </c>
      <c r="I548" s="6">
        <f t="shared" si="43"/>
        <v>353.83275261324042</v>
      </c>
      <c r="J548" s="71" t="s">
        <v>710</v>
      </c>
      <c r="K548" s="74">
        <v>5.74</v>
      </c>
      <c r="L548" s="71" t="s">
        <v>734</v>
      </c>
      <c r="M548" s="71" t="s">
        <v>1332</v>
      </c>
      <c r="N548" s="71">
        <v>920</v>
      </c>
      <c r="O548" s="46">
        <v>2031</v>
      </c>
      <c r="P548" s="71" t="s">
        <v>1333</v>
      </c>
      <c r="Q548" s="71" t="s">
        <v>1334</v>
      </c>
      <c r="R548" s="71" t="s">
        <v>838</v>
      </c>
      <c r="S548" s="71" t="s">
        <v>749</v>
      </c>
      <c r="T548" s="71" t="s">
        <v>1183</v>
      </c>
      <c r="U548" s="71" t="s">
        <v>1335</v>
      </c>
      <c r="V548" s="71" t="s">
        <v>1336</v>
      </c>
      <c r="W548" s="71" t="s">
        <v>1337</v>
      </c>
      <c r="X548" s="71">
        <v>150342</v>
      </c>
      <c r="Y548" s="71">
        <v>284608</v>
      </c>
      <c r="Z548" s="71">
        <v>0</v>
      </c>
      <c r="AA548" s="71">
        <v>0</v>
      </c>
      <c r="AB548" s="71" t="s">
        <v>1270</v>
      </c>
    </row>
    <row r="549" spans="1:28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4"/>
        <v>2142.8571428571427</v>
      </c>
      <c r="I549" s="6">
        <f t="shared" si="43"/>
        <v>192.35412474849096</v>
      </c>
      <c r="J549" s="72" t="s">
        <v>1338</v>
      </c>
      <c r="K549" s="74">
        <v>4.97</v>
      </c>
      <c r="L549" s="72" t="s">
        <v>602</v>
      </c>
      <c r="M549" s="72" t="s">
        <v>1339</v>
      </c>
      <c r="N549" s="72">
        <v>337</v>
      </c>
      <c r="O549" s="46">
        <v>956</v>
      </c>
      <c r="P549" s="72" t="s">
        <v>582</v>
      </c>
      <c r="Q549" s="72" t="s">
        <v>1340</v>
      </c>
      <c r="R549" s="72" t="s">
        <v>1341</v>
      </c>
      <c r="S549" s="72" t="s">
        <v>749</v>
      </c>
      <c r="T549" s="72" t="s">
        <v>919</v>
      </c>
      <c r="U549" s="72" t="s">
        <v>1342</v>
      </c>
      <c r="V549" s="72" t="s">
        <v>1343</v>
      </c>
      <c r="W549" s="72" t="s">
        <v>1344</v>
      </c>
      <c r="X549" s="72">
        <v>93585</v>
      </c>
      <c r="Y549" s="72">
        <v>203866</v>
      </c>
      <c r="Z549" s="72">
        <v>1</v>
      </c>
      <c r="AA549" s="72">
        <v>0</v>
      </c>
      <c r="AB549" s="72" t="s">
        <v>1345</v>
      </c>
    </row>
    <row r="550" spans="1:28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4"/>
        <v>2142.8571428571427</v>
      </c>
      <c r="I550" s="6">
        <f t="shared" si="43"/>
        <v>444.04761904761904</v>
      </c>
      <c r="J550" s="72" t="s">
        <v>658</v>
      </c>
      <c r="K550" s="74">
        <v>4.2</v>
      </c>
      <c r="L550" s="72" t="s">
        <v>709</v>
      </c>
      <c r="M550" s="72" t="s">
        <v>1346</v>
      </c>
      <c r="N550" s="72">
        <v>474</v>
      </c>
      <c r="O550" s="46">
        <v>1865</v>
      </c>
      <c r="P550" s="72" t="s">
        <v>1347</v>
      </c>
      <c r="Q550" s="72" t="s">
        <v>1348</v>
      </c>
      <c r="R550" s="72" t="s">
        <v>1349</v>
      </c>
      <c r="S550" s="72" t="s">
        <v>1248</v>
      </c>
      <c r="T550" s="72" t="s">
        <v>1350</v>
      </c>
      <c r="U550" s="72" t="s">
        <v>1351</v>
      </c>
      <c r="V550" s="72" t="s">
        <v>1352</v>
      </c>
      <c r="W550" s="72" t="s">
        <v>1353</v>
      </c>
      <c r="X550" s="72">
        <v>113589</v>
      </c>
      <c r="Y550" s="72">
        <v>329631</v>
      </c>
      <c r="Z550" s="72">
        <v>0</v>
      </c>
      <c r="AA550" s="72">
        <v>0</v>
      </c>
      <c r="AB550" s="72" t="s">
        <v>1288</v>
      </c>
    </row>
    <row r="551" spans="1:28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4"/>
        <v>2142.8571428571427</v>
      </c>
      <c r="I551" s="6">
        <f t="shared" si="43"/>
        <v>252.72727272727272</v>
      </c>
      <c r="J551" s="72" t="s">
        <v>1354</v>
      </c>
      <c r="K551" s="74">
        <v>5.5</v>
      </c>
      <c r="L551" s="72" t="s">
        <v>621</v>
      </c>
      <c r="M551" s="72" t="s">
        <v>1355</v>
      </c>
      <c r="N551" s="72">
        <v>403</v>
      </c>
      <c r="O551" s="46">
        <v>1390</v>
      </c>
      <c r="P551" s="72" t="s">
        <v>1224</v>
      </c>
      <c r="Q551" s="72" t="s">
        <v>1356</v>
      </c>
      <c r="R551" s="72" t="s">
        <v>1357</v>
      </c>
      <c r="S551" s="72" t="s">
        <v>627</v>
      </c>
      <c r="T551" s="72" t="s">
        <v>628</v>
      </c>
      <c r="U551" s="72" t="s">
        <v>1358</v>
      </c>
      <c r="V551" s="72" t="s">
        <v>1359</v>
      </c>
      <c r="W551" s="72" t="s">
        <v>1360</v>
      </c>
      <c r="X551" s="72">
        <v>182899</v>
      </c>
      <c r="Y551" s="72">
        <v>621899</v>
      </c>
      <c r="Z551" s="72">
        <v>0</v>
      </c>
      <c r="AA551" s="72">
        <v>0</v>
      </c>
      <c r="AB551" s="72" t="s">
        <v>1295</v>
      </c>
    </row>
    <row r="552" spans="1:28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3"/>
        <v>0</v>
      </c>
      <c r="J552" s="72">
        <v>0</v>
      </c>
      <c r="K552" s="74">
        <v>0</v>
      </c>
      <c r="L552" s="72">
        <v>0</v>
      </c>
      <c r="M552" s="72" t="s">
        <v>985</v>
      </c>
      <c r="N552" s="72">
        <v>0</v>
      </c>
      <c r="O552" s="46">
        <v>0</v>
      </c>
      <c r="P552" s="72" t="s">
        <v>985</v>
      </c>
      <c r="Q552" s="72" t="s">
        <v>985</v>
      </c>
      <c r="R552" s="72">
        <v>0</v>
      </c>
      <c r="S552" s="72">
        <v>0</v>
      </c>
      <c r="T552" s="72" t="s">
        <v>985</v>
      </c>
      <c r="U552" s="72">
        <v>0</v>
      </c>
      <c r="V552" s="72" t="s">
        <v>985</v>
      </c>
      <c r="W552" s="72" t="s">
        <v>1308</v>
      </c>
      <c r="X552" s="72">
        <v>74829</v>
      </c>
      <c r="Y552" s="72">
        <v>110568</v>
      </c>
      <c r="Z552" s="72">
        <v>0</v>
      </c>
      <c r="AA552" s="72" t="s">
        <v>985</v>
      </c>
      <c r="AB552" s="72" t="s">
        <v>1243</v>
      </c>
    </row>
    <row r="553" spans="1:28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3"/>
        <v>0</v>
      </c>
      <c r="J553" s="71">
        <v>0</v>
      </c>
      <c r="K553" s="74">
        <v>0</v>
      </c>
      <c r="L553" s="71">
        <v>0</v>
      </c>
      <c r="M553" s="71" t="s">
        <v>985</v>
      </c>
      <c r="N553" s="71" t="s">
        <v>985</v>
      </c>
      <c r="O553" s="46" t="s">
        <v>985</v>
      </c>
      <c r="P553" s="71" t="s">
        <v>985</v>
      </c>
      <c r="Q553" s="71" t="s">
        <v>985</v>
      </c>
      <c r="R553" s="71">
        <v>0</v>
      </c>
      <c r="S553" s="71">
        <v>0</v>
      </c>
      <c r="T553" s="71" t="s">
        <v>985</v>
      </c>
      <c r="U553" s="71">
        <v>0</v>
      </c>
      <c r="V553" s="71" t="s">
        <v>985</v>
      </c>
      <c r="W553" s="71" t="s">
        <v>1319</v>
      </c>
      <c r="X553" s="71" t="s">
        <v>985</v>
      </c>
      <c r="Y553" s="71" t="s">
        <v>985</v>
      </c>
      <c r="Z553" s="71">
        <v>0</v>
      </c>
      <c r="AA553" s="71" t="s">
        <v>985</v>
      </c>
      <c r="AB553" s="71" t="s">
        <v>1253</v>
      </c>
    </row>
    <row r="554" spans="1:28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3"/>
        <v>0</v>
      </c>
      <c r="J554" s="72" t="s">
        <v>985</v>
      </c>
      <c r="K554" s="74" t="s">
        <v>985</v>
      </c>
      <c r="L554" s="72" t="s">
        <v>985</v>
      </c>
      <c r="M554" s="72" t="s">
        <v>985</v>
      </c>
      <c r="N554" s="72" t="s">
        <v>985</v>
      </c>
      <c r="O554" s="46" t="s">
        <v>985</v>
      </c>
      <c r="P554" s="72" t="s">
        <v>985</v>
      </c>
      <c r="Q554" s="72" t="s">
        <v>985</v>
      </c>
      <c r="R554" s="72" t="s">
        <v>985</v>
      </c>
      <c r="S554" s="72" t="s">
        <v>985</v>
      </c>
      <c r="T554" s="72" t="s">
        <v>985</v>
      </c>
      <c r="U554" s="72" t="s">
        <v>985</v>
      </c>
      <c r="V554" s="72" t="s">
        <v>985</v>
      </c>
      <c r="W554" s="72" t="s">
        <v>985</v>
      </c>
      <c r="X554" s="72" t="s">
        <v>985</v>
      </c>
      <c r="Y554" s="72" t="s">
        <v>985</v>
      </c>
      <c r="Z554" s="72" t="s">
        <v>985</v>
      </c>
      <c r="AA554" s="72" t="s">
        <v>985</v>
      </c>
      <c r="AB554" s="72" t="s">
        <v>985</v>
      </c>
    </row>
    <row r="555" spans="1:28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3"/>
        <v>0</v>
      </c>
      <c r="J555" s="72">
        <v>0</v>
      </c>
      <c r="K555" s="74">
        <v>0</v>
      </c>
      <c r="L555" s="72">
        <v>0</v>
      </c>
      <c r="M555" s="72" t="s">
        <v>985</v>
      </c>
      <c r="N555" s="72">
        <v>0</v>
      </c>
      <c r="O555" s="46">
        <v>0</v>
      </c>
      <c r="P555" s="72" t="s">
        <v>985</v>
      </c>
      <c r="Q555" s="72" t="s">
        <v>985</v>
      </c>
      <c r="R555" s="72">
        <v>0</v>
      </c>
      <c r="S555" s="72">
        <v>0</v>
      </c>
      <c r="T555" s="72" t="s">
        <v>985</v>
      </c>
      <c r="U555" s="72">
        <v>0</v>
      </c>
      <c r="V555" s="72" t="s">
        <v>985</v>
      </c>
      <c r="W555" s="72" t="s">
        <v>1337</v>
      </c>
      <c r="X555" s="72">
        <v>150342</v>
      </c>
      <c r="Y555" s="72">
        <v>284608</v>
      </c>
      <c r="Z555" s="72">
        <v>0</v>
      </c>
      <c r="AA555" s="72" t="s">
        <v>985</v>
      </c>
      <c r="AB555" s="72" t="s">
        <v>1270</v>
      </c>
    </row>
    <row r="556" spans="1:28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3"/>
        <v>0</v>
      </c>
      <c r="J556" s="72" t="s">
        <v>985</v>
      </c>
      <c r="K556" s="74" t="s">
        <v>985</v>
      </c>
      <c r="L556" s="72" t="s">
        <v>985</v>
      </c>
      <c r="M556" s="72" t="s">
        <v>985</v>
      </c>
      <c r="N556" s="72" t="s">
        <v>985</v>
      </c>
      <c r="O556" s="46" t="s">
        <v>985</v>
      </c>
      <c r="P556" s="72" t="s">
        <v>985</v>
      </c>
      <c r="Q556" s="72" t="s">
        <v>985</v>
      </c>
      <c r="R556" s="72" t="s">
        <v>985</v>
      </c>
      <c r="S556" s="72" t="s">
        <v>985</v>
      </c>
      <c r="T556" s="72" t="s">
        <v>985</v>
      </c>
      <c r="U556" s="72" t="s">
        <v>985</v>
      </c>
      <c r="V556" s="72" t="s">
        <v>985</v>
      </c>
      <c r="W556" s="72" t="s">
        <v>985</v>
      </c>
      <c r="X556" s="72" t="s">
        <v>985</v>
      </c>
      <c r="Y556" s="72" t="s">
        <v>985</v>
      </c>
      <c r="Z556" s="72" t="s">
        <v>985</v>
      </c>
      <c r="AA556" s="72" t="s">
        <v>985</v>
      </c>
      <c r="AB556" s="72" t="s">
        <v>985</v>
      </c>
    </row>
    <row r="557" spans="1:28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3"/>
        <v>0</v>
      </c>
      <c r="J557" s="72">
        <v>0</v>
      </c>
      <c r="K557" s="74">
        <v>0</v>
      </c>
      <c r="L557" s="72">
        <v>0</v>
      </c>
      <c r="M557" s="72" t="s">
        <v>985</v>
      </c>
      <c r="N557" s="72">
        <v>0</v>
      </c>
      <c r="O557" s="46">
        <v>0</v>
      </c>
      <c r="P557" s="72" t="s">
        <v>985</v>
      </c>
      <c r="Q557" s="72" t="s">
        <v>985</v>
      </c>
      <c r="R557" s="72">
        <v>0</v>
      </c>
      <c r="S557" s="72">
        <v>0</v>
      </c>
      <c r="T557" s="72" t="s">
        <v>985</v>
      </c>
      <c r="U557" s="72">
        <v>0</v>
      </c>
      <c r="V557" s="72" t="s">
        <v>985</v>
      </c>
      <c r="W557" s="72" t="s">
        <v>1353</v>
      </c>
      <c r="X557" s="72">
        <v>113589</v>
      </c>
      <c r="Y557" s="72">
        <v>329631</v>
      </c>
      <c r="Z557" s="72">
        <v>0</v>
      </c>
      <c r="AA557" s="72" t="s">
        <v>985</v>
      </c>
      <c r="AB557" s="72" t="s">
        <v>1288</v>
      </c>
    </row>
    <row r="558" spans="1:28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3"/>
        <v>0</v>
      </c>
      <c r="J558" s="72">
        <v>0</v>
      </c>
      <c r="K558" s="74">
        <v>0</v>
      </c>
      <c r="L558" s="72">
        <v>0</v>
      </c>
      <c r="M558" s="72" t="s">
        <v>985</v>
      </c>
      <c r="N558" s="72">
        <v>0</v>
      </c>
      <c r="O558" s="79">
        <v>0</v>
      </c>
      <c r="P558" s="72" t="s">
        <v>985</v>
      </c>
      <c r="Q558" s="72" t="s">
        <v>985</v>
      </c>
      <c r="R558" s="72">
        <v>0</v>
      </c>
      <c r="S558" s="72">
        <v>0</v>
      </c>
      <c r="T558" s="72" t="s">
        <v>985</v>
      </c>
      <c r="U558" s="72">
        <v>0</v>
      </c>
      <c r="V558" s="72" t="s">
        <v>985</v>
      </c>
      <c r="W558" s="72" t="s">
        <v>1314</v>
      </c>
      <c r="X558" s="72">
        <v>412033</v>
      </c>
      <c r="Y558" s="72">
        <v>1463975</v>
      </c>
      <c r="Z558" s="72">
        <v>0</v>
      </c>
      <c r="AA558" s="72" t="s">
        <v>985</v>
      </c>
      <c r="AB558" s="72" t="s">
        <v>1047</v>
      </c>
    </row>
    <row r="559" spans="1:28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3"/>
        <v>0</v>
      </c>
      <c r="J559" s="72" t="s">
        <v>985</v>
      </c>
      <c r="K559" s="74" t="s">
        <v>985</v>
      </c>
      <c r="L559" s="72" t="s">
        <v>985</v>
      </c>
      <c r="M559" s="72" t="s">
        <v>985</v>
      </c>
      <c r="N559" s="72" t="s">
        <v>985</v>
      </c>
      <c r="O559" s="46" t="s">
        <v>985</v>
      </c>
      <c r="P559" s="72" t="s">
        <v>985</v>
      </c>
      <c r="Q559" s="72" t="s">
        <v>985</v>
      </c>
      <c r="R559" s="72" t="s">
        <v>985</v>
      </c>
      <c r="S559" s="72" t="s">
        <v>985</v>
      </c>
      <c r="T559" s="72" t="s">
        <v>985</v>
      </c>
      <c r="U559" s="72" t="s">
        <v>985</v>
      </c>
      <c r="V559" s="72" t="s">
        <v>985</v>
      </c>
      <c r="W559" s="72" t="s">
        <v>985</v>
      </c>
      <c r="X559" s="72" t="s">
        <v>985</v>
      </c>
      <c r="Y559" s="72" t="s">
        <v>985</v>
      </c>
      <c r="Z559" s="72" t="s">
        <v>985</v>
      </c>
      <c r="AA559" s="72" t="s">
        <v>985</v>
      </c>
      <c r="AB559" s="72" t="s">
        <v>985</v>
      </c>
    </row>
    <row r="560" spans="1:28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5">15000/6</f>
        <v>2500</v>
      </c>
      <c r="I560" s="6">
        <f t="shared" si="43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5" t="s">
        <v>1363</v>
      </c>
      <c r="O560" s="4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5" t="s">
        <v>1368</v>
      </c>
      <c r="Y560" s="75" t="s">
        <v>1369</v>
      </c>
      <c r="Z560" s="2" t="s">
        <v>800</v>
      </c>
      <c r="AA560" s="75" t="s">
        <v>548</v>
      </c>
      <c r="AB560" s="2" t="s">
        <v>1370</v>
      </c>
    </row>
    <row r="561" spans="1:28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5"/>
        <v>2500</v>
      </c>
      <c r="I561" s="6">
        <f t="shared" si="43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4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5"/>
        <v>2500</v>
      </c>
      <c r="I562" s="6">
        <f t="shared" si="43"/>
        <v>280.14773776546627</v>
      </c>
      <c r="J562" s="73" t="s">
        <v>1379</v>
      </c>
      <c r="K562" s="2">
        <v>10.83</v>
      </c>
      <c r="L562" s="73" t="s">
        <v>1380</v>
      </c>
      <c r="M562" s="73" t="s">
        <v>1381</v>
      </c>
      <c r="N562" s="73" t="s">
        <v>1382</v>
      </c>
      <c r="O562" s="46">
        <v>3034</v>
      </c>
      <c r="P562" s="73" t="s">
        <v>877</v>
      </c>
      <c r="Q562" s="73" t="s">
        <v>1383</v>
      </c>
      <c r="R562" s="73" t="s">
        <v>904</v>
      </c>
      <c r="S562" s="73" t="s">
        <v>712</v>
      </c>
      <c r="T562" s="73" t="s">
        <v>749</v>
      </c>
      <c r="U562" s="73" t="s">
        <v>1384</v>
      </c>
      <c r="V562" s="73" t="s">
        <v>1385</v>
      </c>
      <c r="W562" s="73" t="s">
        <v>1386</v>
      </c>
      <c r="X562" s="73" t="s">
        <v>1387</v>
      </c>
      <c r="Y562" s="73" t="s">
        <v>1388</v>
      </c>
      <c r="Z562" s="73" t="s">
        <v>1389</v>
      </c>
      <c r="AA562" s="73" t="s">
        <v>548</v>
      </c>
      <c r="AB562" s="73" t="s">
        <v>1390</v>
      </c>
    </row>
    <row r="563" spans="1:28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5"/>
        <v>2500</v>
      </c>
      <c r="I563" s="6">
        <f t="shared" si="43"/>
        <v>301.89393939393938</v>
      </c>
      <c r="J563" s="74" t="s">
        <v>1167</v>
      </c>
      <c r="K563" s="2">
        <v>5.28</v>
      </c>
      <c r="L563" s="74" t="s">
        <v>618</v>
      </c>
      <c r="M563" s="74" t="s">
        <v>1391</v>
      </c>
      <c r="N563" s="74" t="s">
        <v>1392</v>
      </c>
      <c r="O563" s="46">
        <v>1594</v>
      </c>
      <c r="P563" s="74" t="s">
        <v>1393</v>
      </c>
      <c r="Q563" s="74" t="s">
        <v>1394</v>
      </c>
      <c r="R563" s="74" t="s">
        <v>939</v>
      </c>
      <c r="S563" s="74" t="s">
        <v>749</v>
      </c>
      <c r="T563" s="74" t="s">
        <v>839</v>
      </c>
      <c r="U563" s="74" t="s">
        <v>1395</v>
      </c>
      <c r="V563" s="74" t="s">
        <v>1396</v>
      </c>
      <c r="W563" s="74" t="s">
        <v>1397</v>
      </c>
      <c r="X563" s="74" t="s">
        <v>1398</v>
      </c>
      <c r="Y563" s="74" t="s">
        <v>1399</v>
      </c>
      <c r="Z563" s="74" t="s">
        <v>719</v>
      </c>
      <c r="AA563" s="74" t="s">
        <v>548</v>
      </c>
      <c r="AB563" s="74" t="s">
        <v>1400</v>
      </c>
    </row>
    <row r="564" spans="1:28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5"/>
        <v>2500</v>
      </c>
      <c r="I564" s="6">
        <f t="shared" si="43"/>
        <v>304.94186046511629</v>
      </c>
      <c r="J564" s="73" t="s">
        <v>1401</v>
      </c>
      <c r="K564" s="2">
        <v>6.88</v>
      </c>
      <c r="L564" s="73" t="s">
        <v>1064</v>
      </c>
      <c r="M564" s="73" t="s">
        <v>1402</v>
      </c>
      <c r="N564" s="2" t="s">
        <v>1403</v>
      </c>
      <c r="O564" s="46">
        <v>2098</v>
      </c>
      <c r="P564" s="73" t="s">
        <v>1404</v>
      </c>
      <c r="Q564" s="73" t="s">
        <v>1405</v>
      </c>
      <c r="R564" s="73" t="s">
        <v>1406</v>
      </c>
      <c r="S564" s="73" t="s">
        <v>749</v>
      </c>
      <c r="T564" s="73" t="s">
        <v>771</v>
      </c>
      <c r="U564" s="73" t="s">
        <v>1132</v>
      </c>
      <c r="V564" s="73" t="s">
        <v>1307</v>
      </c>
      <c r="W564" s="73" t="s">
        <v>1407</v>
      </c>
      <c r="X564" s="74" t="s">
        <v>1408</v>
      </c>
      <c r="Y564" s="74" t="s">
        <v>1409</v>
      </c>
      <c r="Z564" s="73" t="s">
        <v>621</v>
      </c>
      <c r="AA564" s="74" t="s">
        <v>548</v>
      </c>
      <c r="AB564" s="73" t="s">
        <v>1410</v>
      </c>
    </row>
    <row r="565" spans="1:28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5"/>
        <v>2500</v>
      </c>
      <c r="I565" s="6">
        <f t="shared" si="43"/>
        <v>328.76106194690266</v>
      </c>
      <c r="J565" s="74" t="s">
        <v>1001</v>
      </c>
      <c r="K565" s="2">
        <v>6.78</v>
      </c>
      <c r="L565" s="74" t="s">
        <v>624</v>
      </c>
      <c r="M565" s="74" t="s">
        <v>1411</v>
      </c>
      <c r="N565" s="2" t="s">
        <v>1412</v>
      </c>
      <c r="O565" s="46">
        <v>2229</v>
      </c>
      <c r="P565" s="74" t="s">
        <v>1413</v>
      </c>
      <c r="Q565" s="74" t="s">
        <v>1414</v>
      </c>
      <c r="R565" s="74" t="s">
        <v>1150</v>
      </c>
      <c r="S565" s="74" t="s">
        <v>1415</v>
      </c>
      <c r="T565" s="74" t="s">
        <v>1416</v>
      </c>
      <c r="U565" s="74" t="s">
        <v>1417</v>
      </c>
      <c r="V565" s="74" t="s">
        <v>1418</v>
      </c>
      <c r="W565" s="74" t="s">
        <v>1419</v>
      </c>
      <c r="X565" s="74" t="s">
        <v>1420</v>
      </c>
      <c r="Y565" s="74" t="s">
        <v>1421</v>
      </c>
      <c r="Z565" s="74" t="s">
        <v>580</v>
      </c>
      <c r="AA565" s="74" t="s">
        <v>548</v>
      </c>
      <c r="AB565" s="74" t="s">
        <v>1422</v>
      </c>
    </row>
    <row r="566" spans="1:28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61">
        <v>806</v>
      </c>
      <c r="G566" s="8"/>
      <c r="H566" s="6">
        <f>24000/6</f>
        <v>4000</v>
      </c>
      <c r="I566" s="6">
        <f t="shared" si="43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4" t="s">
        <v>1424</v>
      </c>
      <c r="O566" s="81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4" t="s">
        <v>1430</v>
      </c>
      <c r="Y566" s="74" t="s">
        <v>1431</v>
      </c>
      <c r="Z566" s="2" t="s">
        <v>800</v>
      </c>
      <c r="AA566" s="74" t="s">
        <v>548</v>
      </c>
      <c r="AB566" s="2" t="s">
        <v>1432</v>
      </c>
    </row>
    <row r="567" spans="1:28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3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4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6">15000/6</f>
        <v>2500</v>
      </c>
      <c r="I568" s="6">
        <f t="shared" si="43"/>
        <v>186.62790697674419</v>
      </c>
      <c r="J568" s="75" t="s">
        <v>1439</v>
      </c>
      <c r="K568" s="2">
        <v>6.88</v>
      </c>
      <c r="L568" s="75" t="s">
        <v>756</v>
      </c>
      <c r="M568" s="75" t="s">
        <v>1440</v>
      </c>
      <c r="N568" s="2">
        <v>778</v>
      </c>
      <c r="O568" s="46">
        <v>1284</v>
      </c>
      <c r="P568" s="75" t="s">
        <v>706</v>
      </c>
      <c r="Q568" s="75" t="s">
        <v>1441</v>
      </c>
      <c r="R568" s="75" t="s">
        <v>1442</v>
      </c>
      <c r="S568" s="75" t="s">
        <v>567</v>
      </c>
      <c r="T568" s="75" t="s">
        <v>762</v>
      </c>
      <c r="U568" s="75" t="s">
        <v>1443</v>
      </c>
      <c r="V568" s="75" t="s">
        <v>1444</v>
      </c>
      <c r="W568" s="75" t="s">
        <v>1445</v>
      </c>
      <c r="X568" s="75">
        <v>76096</v>
      </c>
      <c r="Y568" s="75">
        <v>112557</v>
      </c>
      <c r="Z568" s="75" t="s">
        <v>998</v>
      </c>
      <c r="AA568" s="75">
        <v>0</v>
      </c>
      <c r="AB568" s="75" t="s">
        <v>1446</v>
      </c>
    </row>
    <row r="569" spans="1:28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6"/>
        <v>2500</v>
      </c>
      <c r="I569" s="6">
        <f t="shared" si="43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4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6"/>
        <v>2500</v>
      </c>
      <c r="I570" s="6">
        <f t="shared" si="43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4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6"/>
        <v>2500</v>
      </c>
      <c r="I571" s="6">
        <f t="shared" si="43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4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6"/>
        <v>2500</v>
      </c>
      <c r="I572" s="6">
        <f t="shared" ref="I572:I603" si="47">IFERROR(O572/K572,)</f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4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6"/>
        <v>2500</v>
      </c>
      <c r="I573" s="6">
        <f t="shared" si="47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4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61">
        <v>1920</v>
      </c>
      <c r="G574" s="8"/>
      <c r="H574" s="6">
        <f>24000/6</f>
        <v>4000</v>
      </c>
      <c r="I574" s="6">
        <f t="shared" si="47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81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7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4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7"/>
        <v>180</v>
      </c>
      <c r="J576" s="75" t="s">
        <v>1526</v>
      </c>
      <c r="K576" s="2">
        <v>7.4</v>
      </c>
      <c r="L576" s="75" t="s">
        <v>608</v>
      </c>
      <c r="M576" s="75" t="s">
        <v>1527</v>
      </c>
      <c r="N576" s="2">
        <v>1036</v>
      </c>
      <c r="O576" s="46">
        <v>1332</v>
      </c>
      <c r="P576" s="75" t="s">
        <v>1528</v>
      </c>
      <c r="Q576" s="75" t="s">
        <v>1529</v>
      </c>
      <c r="R576" s="75" t="s">
        <v>1530</v>
      </c>
      <c r="S576" s="75" t="s">
        <v>961</v>
      </c>
      <c r="T576" s="75" t="s">
        <v>1175</v>
      </c>
      <c r="U576" s="75" t="s">
        <v>1531</v>
      </c>
      <c r="V576" s="75" t="s">
        <v>1532</v>
      </c>
      <c r="W576" s="75" t="s">
        <v>1533</v>
      </c>
      <c r="X576" s="75">
        <v>77132</v>
      </c>
      <c r="Y576" s="75">
        <v>113889</v>
      </c>
      <c r="Z576" s="75" t="s">
        <v>649</v>
      </c>
      <c r="AA576" s="75">
        <v>0</v>
      </c>
      <c r="AB576" s="75" t="s">
        <v>1534</v>
      </c>
    </row>
    <row r="577" spans="1:28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7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4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7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4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7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4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7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4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7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4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61">
        <v>1817</v>
      </c>
      <c r="G582" s="8"/>
      <c r="H582" s="6">
        <f>24000/6</f>
        <v>4000</v>
      </c>
      <c r="I582" s="6">
        <f t="shared" si="47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81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7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4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8">15000/7</f>
        <v>2142.8571428571427</v>
      </c>
      <c r="I584" s="6">
        <f t="shared" si="47"/>
        <v>338.29499323410016</v>
      </c>
      <c r="J584" s="75" t="s">
        <v>1604</v>
      </c>
      <c r="K584" s="2">
        <v>7.39</v>
      </c>
      <c r="L584" s="75" t="s">
        <v>602</v>
      </c>
      <c r="M584" s="75" t="s">
        <v>1605</v>
      </c>
      <c r="N584" s="75">
        <v>1062</v>
      </c>
      <c r="O584" s="46">
        <v>2500</v>
      </c>
      <c r="P584" s="75" t="s">
        <v>790</v>
      </c>
      <c r="Q584" s="75" t="s">
        <v>1606</v>
      </c>
      <c r="R584" s="75" t="s">
        <v>986</v>
      </c>
      <c r="S584" s="75" t="s">
        <v>685</v>
      </c>
      <c r="T584" s="75" t="s">
        <v>1175</v>
      </c>
      <c r="U584" s="75">
        <v>150</v>
      </c>
      <c r="V584" s="75" t="s">
        <v>1607</v>
      </c>
      <c r="W584" s="75" t="s">
        <v>1608</v>
      </c>
      <c r="X584" s="75">
        <v>78194</v>
      </c>
      <c r="Y584" s="75">
        <v>115442</v>
      </c>
      <c r="Z584" s="75" t="s">
        <v>649</v>
      </c>
      <c r="AA584" s="75">
        <v>0</v>
      </c>
      <c r="AB584" s="75">
        <v>286</v>
      </c>
    </row>
    <row r="585" spans="1:28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8"/>
        <v>2142.8571428571427</v>
      </c>
      <c r="I585" s="6">
        <f t="shared" si="47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4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8"/>
        <v>2142.8571428571427</v>
      </c>
      <c r="I586" s="6">
        <f t="shared" si="47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4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8"/>
        <v>2142.8571428571427</v>
      </c>
      <c r="I587" s="6">
        <f t="shared" si="47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4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8"/>
        <v>2142.8571428571427</v>
      </c>
      <c r="I588" s="6">
        <f t="shared" si="47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4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8"/>
        <v>2142.8571428571427</v>
      </c>
      <c r="I589" s="6">
        <f t="shared" si="47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4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61">
        <v>541</v>
      </c>
      <c r="G590" s="8"/>
      <c r="H590" s="6">
        <f>24000/6</f>
        <v>4000</v>
      </c>
      <c r="I590" s="6">
        <f t="shared" si="47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81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9">15000/7</f>
        <v>2142.8571428571427</v>
      </c>
      <c r="I591" s="6">
        <f t="shared" si="47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4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9"/>
        <v>2142.8571428571427</v>
      </c>
      <c r="I592" s="6">
        <f t="shared" si="47"/>
        <v>297.92746113989637</v>
      </c>
      <c r="J592" s="75" t="s">
        <v>1674</v>
      </c>
      <c r="K592" s="2">
        <v>7.72</v>
      </c>
      <c r="L592" s="75" t="s">
        <v>608</v>
      </c>
      <c r="M592" s="75" t="s">
        <v>1675</v>
      </c>
      <c r="N592" s="75">
        <v>987</v>
      </c>
      <c r="O592" s="46">
        <v>2300</v>
      </c>
      <c r="P592" s="75" t="s">
        <v>1676</v>
      </c>
      <c r="Q592" s="75" t="s">
        <v>1677</v>
      </c>
      <c r="R592" s="75" t="s">
        <v>1678</v>
      </c>
      <c r="S592" s="75" t="s">
        <v>961</v>
      </c>
      <c r="T592" s="75" t="s">
        <v>1175</v>
      </c>
      <c r="U592" s="75" t="s">
        <v>995</v>
      </c>
      <c r="V592" s="75" t="s">
        <v>1679</v>
      </c>
      <c r="W592" s="75" t="s">
        <v>1680</v>
      </c>
      <c r="X592" s="75">
        <v>79181</v>
      </c>
      <c r="Y592" s="75">
        <v>117097</v>
      </c>
      <c r="Z592" s="75" t="s">
        <v>998</v>
      </c>
      <c r="AA592" s="75">
        <v>0</v>
      </c>
      <c r="AB592" s="75" t="s">
        <v>1681</v>
      </c>
    </row>
    <row r="593" spans="1:28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9"/>
        <v>2142.8571428571427</v>
      </c>
      <c r="I593" s="6">
        <f t="shared" si="47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4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9"/>
        <v>2142.8571428571427</v>
      </c>
      <c r="I594" s="6">
        <f t="shared" si="47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4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9"/>
        <v>2142.8571428571427</v>
      </c>
      <c r="I595" s="6">
        <f t="shared" si="47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4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9"/>
        <v>2142.8571428571427</v>
      </c>
      <c r="I596" s="6">
        <f t="shared" si="47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4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9"/>
        <v>2142.8571428571427</v>
      </c>
      <c r="I597" s="6">
        <f t="shared" si="47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4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61">
        <v>371</v>
      </c>
      <c r="G598" s="8"/>
      <c r="H598" s="6">
        <f>24000/6</f>
        <v>4000</v>
      </c>
      <c r="I598" s="6">
        <f t="shared" si="47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81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7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4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50">15000/6</f>
        <v>2500</v>
      </c>
      <c r="I600" s="6">
        <f t="shared" si="47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4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50"/>
        <v>2500</v>
      </c>
      <c r="I601" s="6">
        <f t="shared" si="47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4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50"/>
        <v>2500</v>
      </c>
      <c r="I602" s="6">
        <f t="shared" si="47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4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50"/>
        <v>2500</v>
      </c>
      <c r="I603" s="6">
        <f t="shared" si="47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4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50"/>
        <v>2500</v>
      </c>
      <c r="I604" s="6">
        <f t="shared" ref="I604:I635" si="51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4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50"/>
        <v>2500</v>
      </c>
      <c r="I605" s="6">
        <f t="shared" si="51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4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61">
        <v>1115</v>
      </c>
      <c r="G606" s="8"/>
      <c r="H606" s="6">
        <f>24000/6</f>
        <v>4000</v>
      </c>
      <c r="I606" s="6">
        <f t="shared" si="51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81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51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4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51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4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51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4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51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4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51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4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51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4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51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4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51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4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61"/>
      <c r="G615" s="8"/>
      <c r="H615" s="6"/>
      <c r="I615" s="6">
        <f t="shared" si="51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4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61"/>
      <c r="G616" s="61"/>
      <c r="H616" s="6">
        <f>15000/6</f>
        <v>2500</v>
      </c>
      <c r="I616" s="6">
        <f t="shared" si="51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81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61"/>
      <c r="G617" s="61"/>
      <c r="H617" s="6">
        <f t="shared" ref="H617:H621" si="52">15000/6</f>
        <v>2500</v>
      </c>
      <c r="I617" s="6">
        <f t="shared" si="51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81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61"/>
      <c r="G618" s="61"/>
      <c r="H618" s="6">
        <f t="shared" si="52"/>
        <v>2500</v>
      </c>
      <c r="I618" s="6">
        <f t="shared" si="51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4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61"/>
      <c r="G619" s="61"/>
      <c r="H619" s="6">
        <f t="shared" si="52"/>
        <v>2500</v>
      </c>
      <c r="I619" s="6">
        <f t="shared" si="51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4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61"/>
      <c r="G620" s="61"/>
      <c r="H620" s="6">
        <f t="shared" si="52"/>
        <v>2500</v>
      </c>
      <c r="I620" s="6">
        <f t="shared" si="51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4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61"/>
      <c r="G621" s="61"/>
      <c r="H621" s="6">
        <f t="shared" si="52"/>
        <v>2500</v>
      </c>
      <c r="I621" s="6">
        <f t="shared" si="51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4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61">
        <v>2741</v>
      </c>
      <c r="G622" s="61"/>
      <c r="H622" s="6">
        <v>4000</v>
      </c>
      <c r="I622" s="6">
        <f t="shared" si="51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4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61"/>
      <c r="G623" s="61"/>
      <c r="H623" s="6"/>
      <c r="I623" s="6">
        <f t="shared" si="51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4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61"/>
      <c r="G624" s="61"/>
      <c r="H624" s="6">
        <f>15000/5</f>
        <v>3000</v>
      </c>
      <c r="I624" s="6">
        <f t="shared" si="51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4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51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81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61"/>
      <c r="G626" s="61"/>
      <c r="H626" s="6">
        <f>15000/5</f>
        <v>3000</v>
      </c>
      <c r="I626" s="6">
        <f t="shared" si="51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4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61"/>
      <c r="G627" s="61"/>
      <c r="H627" s="6">
        <f t="shared" ref="H627:H629" si="53">15000/5</f>
        <v>3000</v>
      </c>
      <c r="I627" s="6">
        <f t="shared" si="51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4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61"/>
      <c r="G628" s="61"/>
      <c r="H628" s="6">
        <f t="shared" si="53"/>
        <v>3000</v>
      </c>
      <c r="I628" s="6">
        <f t="shared" si="51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4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61"/>
      <c r="G629" s="61"/>
      <c r="H629" s="6">
        <f t="shared" si="53"/>
        <v>3000</v>
      </c>
      <c r="I629" s="6">
        <f t="shared" si="51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4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61">
        <v>2742</v>
      </c>
      <c r="G630" s="61"/>
      <c r="H630" s="6">
        <v>4000</v>
      </c>
      <c r="I630" s="6">
        <f t="shared" si="51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4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61"/>
      <c r="G631" s="61"/>
      <c r="H631" s="6"/>
      <c r="I631" s="6">
        <f t="shared" si="51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4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51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4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51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81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61"/>
      <c r="G634" s="61"/>
      <c r="H634" s="6">
        <f>15000/6</f>
        <v>2500</v>
      </c>
      <c r="I634" s="6">
        <f t="shared" si="51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4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61"/>
      <c r="G635" s="61"/>
      <c r="H635" s="6">
        <f t="shared" ref="H635:H647" si="54">15000/6</f>
        <v>2500</v>
      </c>
      <c r="I635" s="6">
        <f t="shared" si="51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4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61"/>
      <c r="G636" s="61"/>
      <c r="H636" s="6">
        <f t="shared" si="54"/>
        <v>2500</v>
      </c>
      <c r="I636" s="6">
        <f t="shared" ref="I636:I671" si="55">IFERROR(O636/K636,)</f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4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61"/>
      <c r="G637" s="61"/>
      <c r="H637" s="6">
        <f t="shared" si="54"/>
        <v>2500</v>
      </c>
      <c r="I637" s="6">
        <f t="shared" si="55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4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61">
        <v>3249</v>
      </c>
      <c r="G638" s="61"/>
      <c r="H638" s="6">
        <v>4000</v>
      </c>
      <c r="I638" s="6">
        <f t="shared" si="55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4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61"/>
      <c r="G639" s="61"/>
      <c r="H639" s="6">
        <f t="shared" si="54"/>
        <v>2500</v>
      </c>
      <c r="I639" s="6">
        <f t="shared" si="55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4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 t="shared" si="54"/>
        <v>2500</v>
      </c>
      <c r="I640" s="6">
        <f t="shared" si="55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4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55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81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61"/>
      <c r="G642" s="61"/>
      <c r="H642" s="6">
        <f t="shared" si="54"/>
        <v>2500</v>
      </c>
      <c r="I642" s="6">
        <f t="shared" si="55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4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61"/>
      <c r="G643" s="61"/>
      <c r="H643" s="6">
        <f t="shared" si="54"/>
        <v>2500</v>
      </c>
      <c r="I643" s="6">
        <f t="shared" si="55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4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61"/>
      <c r="G644" s="61"/>
      <c r="H644" s="6">
        <f t="shared" si="54"/>
        <v>2500</v>
      </c>
      <c r="I644" s="6">
        <f t="shared" si="55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4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61"/>
      <c r="G645" s="61"/>
      <c r="H645" s="6">
        <f t="shared" si="54"/>
        <v>2500</v>
      </c>
      <c r="I645" s="6">
        <f t="shared" si="55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4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61">
        <v>3341</v>
      </c>
      <c r="G646" s="61"/>
      <c r="H646" s="6">
        <v>4000</v>
      </c>
      <c r="I646" s="6">
        <f t="shared" si="55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4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61"/>
      <c r="G647" s="61"/>
      <c r="H647" s="6">
        <f t="shared" si="54"/>
        <v>2500</v>
      </c>
      <c r="I647" s="6">
        <f t="shared" si="55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4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61"/>
      <c r="G648" s="8"/>
      <c r="H648" s="6">
        <f>15000/7</f>
        <v>2142.8571428571427</v>
      </c>
      <c r="I648" s="6">
        <f t="shared" si="55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4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61"/>
      <c r="G649" s="61"/>
      <c r="H649" s="6">
        <f t="shared" ref="H649:H663" si="56">15000/7</f>
        <v>2142.8571428571427</v>
      </c>
      <c r="I649" s="6">
        <f t="shared" si="55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81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61"/>
      <c r="G650" s="61"/>
      <c r="H650" s="6">
        <f t="shared" si="56"/>
        <v>2142.8571428571427</v>
      </c>
      <c r="I650" s="6">
        <f t="shared" si="55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81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61"/>
      <c r="G651" s="61"/>
      <c r="H651" s="6">
        <f t="shared" si="56"/>
        <v>2142.8571428571427</v>
      </c>
      <c r="I651" s="6">
        <f t="shared" si="55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4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61"/>
      <c r="G652" s="61"/>
      <c r="H652" s="6">
        <f t="shared" si="56"/>
        <v>2142.8571428571427</v>
      </c>
      <c r="I652" s="6">
        <f t="shared" si="55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4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61"/>
      <c r="G653" s="61"/>
      <c r="H653" s="6">
        <f t="shared" si="56"/>
        <v>2142.8571428571427</v>
      </c>
      <c r="I653" s="6">
        <f t="shared" si="55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4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61">
        <v>2749</v>
      </c>
      <c r="G654" s="61"/>
      <c r="H654" s="6">
        <v>4000</v>
      </c>
      <c r="I654" s="6">
        <f t="shared" si="55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4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61"/>
      <c r="G655" s="61"/>
      <c r="H655" s="6">
        <f t="shared" si="56"/>
        <v>2142.8571428571427</v>
      </c>
      <c r="I655" s="6">
        <f t="shared" si="55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4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61"/>
      <c r="G656" s="8"/>
      <c r="H656" s="6">
        <f t="shared" si="56"/>
        <v>2142.8571428571427</v>
      </c>
      <c r="I656" s="6">
        <f t="shared" si="55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4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9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61"/>
      <c r="G657" s="61"/>
      <c r="H657" s="6">
        <f t="shared" si="56"/>
        <v>2142.8571428571427</v>
      </c>
      <c r="I657" s="6">
        <f t="shared" si="55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81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9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61"/>
      <c r="G658" s="61"/>
      <c r="H658" s="6">
        <f t="shared" si="56"/>
        <v>2142.8571428571427</v>
      </c>
      <c r="I658" s="6">
        <f t="shared" si="55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81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9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61"/>
      <c r="G659" s="61"/>
      <c r="H659" s="6">
        <f t="shared" si="56"/>
        <v>2142.8571428571427</v>
      </c>
      <c r="I659" s="6">
        <f t="shared" si="55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4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9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61"/>
      <c r="G660" s="61"/>
      <c r="H660" s="6">
        <f t="shared" si="56"/>
        <v>2142.8571428571427</v>
      </c>
      <c r="I660" s="6">
        <f t="shared" si="55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4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9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61"/>
      <c r="G661" s="61"/>
      <c r="H661" s="6">
        <f t="shared" si="56"/>
        <v>2142.8571428571427</v>
      </c>
      <c r="I661" s="6">
        <f t="shared" si="55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4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9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61">
        <v>2200</v>
      </c>
      <c r="G662" s="61"/>
      <c r="H662" s="6">
        <v>4000</v>
      </c>
      <c r="I662" s="6">
        <f t="shared" si="55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4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9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61"/>
      <c r="G663" s="61"/>
      <c r="H663" s="6">
        <f t="shared" si="56"/>
        <v>2142.8571428571427</v>
      </c>
      <c r="I663" s="6">
        <f t="shared" si="55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4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9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61"/>
      <c r="G664" s="8"/>
      <c r="H664" s="6"/>
      <c r="I664" s="6">
        <f t="shared" si="55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4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9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61"/>
      <c r="G665" s="61"/>
      <c r="H665" s="6"/>
      <c r="I665" s="6">
        <f t="shared" si="55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81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9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61"/>
      <c r="G666" s="61"/>
      <c r="H666" s="6"/>
      <c r="I666" s="6">
        <f t="shared" si="55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81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9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61"/>
      <c r="G667" s="61"/>
      <c r="H667" s="6"/>
      <c r="I667" s="6">
        <f t="shared" si="55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4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9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61"/>
      <c r="G668" s="61"/>
      <c r="H668" s="6"/>
      <c r="I668" s="6">
        <f t="shared" si="55"/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4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9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61"/>
      <c r="G669" s="61"/>
      <c r="H669" s="6"/>
      <c r="I669" s="6">
        <f t="shared" si="55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4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9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61"/>
      <c r="G670" s="61"/>
      <c r="H670" s="6"/>
      <c r="I670" s="6">
        <f t="shared" si="55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4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9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61"/>
      <c r="G671" s="61"/>
      <c r="H671" s="6"/>
      <c r="I671" s="6">
        <f t="shared" si="55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4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9">
      <c r="A672" s="90">
        <v>46230</v>
      </c>
      <c r="B672" s="86" t="s">
        <v>2254</v>
      </c>
      <c r="C672" s="86" t="s">
        <v>36</v>
      </c>
      <c r="D672" s="86" t="s">
        <v>39</v>
      </c>
      <c r="E672" s="86" t="s">
        <v>47</v>
      </c>
      <c r="F672" s="87"/>
      <c r="G672" s="87"/>
      <c r="H672" s="85"/>
      <c r="I672" s="85">
        <f t="shared" ref="I672:I679" si="57">IFERROR(O672/K672,)</f>
        <v>272.16174183514778</v>
      </c>
      <c r="J672" s="82" t="s">
        <v>1862</v>
      </c>
      <c r="K672" s="82">
        <v>6.43</v>
      </c>
      <c r="L672" s="82" t="s">
        <v>1187</v>
      </c>
      <c r="M672" s="82" t="s">
        <v>2255</v>
      </c>
      <c r="N672" s="82" t="s">
        <v>2256</v>
      </c>
      <c r="O672" s="84">
        <v>1750</v>
      </c>
      <c r="P672" s="82" t="s">
        <v>1172</v>
      </c>
      <c r="Q672" s="82" t="s">
        <v>2257</v>
      </c>
      <c r="R672" s="82" t="s">
        <v>1260</v>
      </c>
      <c r="S672" s="82" t="s">
        <v>737</v>
      </c>
      <c r="T672" s="82" t="s">
        <v>1374</v>
      </c>
      <c r="U672" s="82" t="s">
        <v>1351</v>
      </c>
      <c r="V672" s="82" t="s">
        <v>1184</v>
      </c>
      <c r="W672" s="82" t="s">
        <v>2258</v>
      </c>
      <c r="X672" s="82" t="s">
        <v>2259</v>
      </c>
      <c r="Y672" s="82" t="s">
        <v>2260</v>
      </c>
      <c r="Z672" s="82" t="s">
        <v>649</v>
      </c>
      <c r="AA672" s="82" t="s">
        <v>548</v>
      </c>
      <c r="AB672" s="82" t="s">
        <v>2261</v>
      </c>
      <c r="AC672" s="83"/>
    </row>
    <row r="673" spans="1:29">
      <c r="A673" s="90">
        <v>46230</v>
      </c>
      <c r="B673" s="86" t="s">
        <v>55</v>
      </c>
      <c r="C673" s="86" t="s">
        <v>56</v>
      </c>
      <c r="D673" s="86" t="s">
        <v>43</v>
      </c>
      <c r="E673" s="86" t="s">
        <v>47</v>
      </c>
      <c r="F673" s="86"/>
      <c r="G673" s="86" t="s">
        <v>146</v>
      </c>
      <c r="H673" s="85"/>
      <c r="I673" s="85">
        <f t="shared" si="57"/>
        <v>0</v>
      </c>
      <c r="J673" s="82" t="s">
        <v>45</v>
      </c>
      <c r="K673" s="82" t="s">
        <v>45</v>
      </c>
      <c r="L673" s="82" t="s">
        <v>45</v>
      </c>
      <c r="M673" s="82" t="s">
        <v>45</v>
      </c>
      <c r="N673" s="82" t="s">
        <v>45</v>
      </c>
      <c r="O673" s="88" t="s">
        <v>45</v>
      </c>
      <c r="P673" s="82" t="s">
        <v>45</v>
      </c>
      <c r="Q673" s="82" t="s">
        <v>45</v>
      </c>
      <c r="R673" s="82" t="s">
        <v>45</v>
      </c>
      <c r="S673" s="82" t="s">
        <v>45</v>
      </c>
      <c r="T673" s="82" t="s">
        <v>45</v>
      </c>
      <c r="U673" s="82" t="s">
        <v>45</v>
      </c>
      <c r="V673" s="82" t="s">
        <v>45</v>
      </c>
      <c r="W673" s="82" t="s">
        <v>45</v>
      </c>
      <c r="X673" s="82" t="s">
        <v>45</v>
      </c>
      <c r="Y673" s="82" t="s">
        <v>45</v>
      </c>
      <c r="Z673" s="82" t="s">
        <v>45</v>
      </c>
      <c r="AA673" s="82" t="s">
        <v>45</v>
      </c>
      <c r="AB673" s="82" t="s">
        <v>45</v>
      </c>
      <c r="AC673" s="83"/>
    </row>
    <row r="674" spans="1:29">
      <c r="A674" s="90">
        <v>46230</v>
      </c>
      <c r="B674" s="86" t="s">
        <v>2254</v>
      </c>
      <c r="C674" s="86" t="s">
        <v>36</v>
      </c>
      <c r="D674" s="86" t="s">
        <v>67</v>
      </c>
      <c r="E674" s="86" t="s">
        <v>47</v>
      </c>
      <c r="F674" s="89"/>
      <c r="G674" s="87"/>
      <c r="H674" s="85"/>
      <c r="I674" s="85">
        <f t="shared" si="57"/>
        <v>312.39892183288407</v>
      </c>
      <c r="J674" s="82" t="s">
        <v>2262</v>
      </c>
      <c r="K674" s="82">
        <v>11.13</v>
      </c>
      <c r="L674" s="82" t="s">
        <v>693</v>
      </c>
      <c r="M674" s="82" t="s">
        <v>1264</v>
      </c>
      <c r="N674" s="82" t="s">
        <v>2263</v>
      </c>
      <c r="O674" s="84">
        <v>3477</v>
      </c>
      <c r="P674" s="82" t="s">
        <v>1066</v>
      </c>
      <c r="Q674" s="82" t="s">
        <v>1206</v>
      </c>
      <c r="R674" s="82" t="s">
        <v>2264</v>
      </c>
      <c r="S674" s="82" t="s">
        <v>737</v>
      </c>
      <c r="T674" s="82" t="s">
        <v>2265</v>
      </c>
      <c r="U674" s="82" t="s">
        <v>1586</v>
      </c>
      <c r="V674" s="82" t="s">
        <v>2266</v>
      </c>
      <c r="W674" s="82" t="s">
        <v>2267</v>
      </c>
      <c r="X674" s="82" t="s">
        <v>2268</v>
      </c>
      <c r="Y674" s="82" t="s">
        <v>2269</v>
      </c>
      <c r="Z674" s="82" t="s">
        <v>800</v>
      </c>
      <c r="AA674" s="82" t="s">
        <v>548</v>
      </c>
      <c r="AB674" s="82" t="s">
        <v>2270</v>
      </c>
      <c r="AC674" s="83"/>
    </row>
    <row r="675" spans="1:29">
      <c r="A675" s="90">
        <v>46230</v>
      </c>
      <c r="B675" s="86" t="s">
        <v>2254</v>
      </c>
      <c r="C675" s="86" t="s">
        <v>36</v>
      </c>
      <c r="D675" s="86" t="s">
        <v>50</v>
      </c>
      <c r="E675" s="86" t="s">
        <v>47</v>
      </c>
      <c r="F675" s="89"/>
      <c r="G675" s="87"/>
      <c r="H675" s="85"/>
      <c r="I675" s="85">
        <f t="shared" si="57"/>
        <v>219.91017964071858</v>
      </c>
      <c r="J675" s="82" t="s">
        <v>954</v>
      </c>
      <c r="K675" s="82">
        <v>6.68</v>
      </c>
      <c r="L675" s="82" t="s">
        <v>1696</v>
      </c>
      <c r="M675" s="82" t="s">
        <v>2271</v>
      </c>
      <c r="N675" s="82" t="s">
        <v>2272</v>
      </c>
      <c r="O675" s="84">
        <v>1469</v>
      </c>
      <c r="P675" s="82" t="s">
        <v>2273</v>
      </c>
      <c r="Q675" s="82" t="s">
        <v>656</v>
      </c>
      <c r="R675" s="82" t="s">
        <v>1443</v>
      </c>
      <c r="S675" s="82" t="s">
        <v>749</v>
      </c>
      <c r="T675" s="82" t="s">
        <v>749</v>
      </c>
      <c r="U675" s="82" t="s">
        <v>1406</v>
      </c>
      <c r="V675" s="82" t="s">
        <v>2274</v>
      </c>
      <c r="W675" s="82" t="s">
        <v>2275</v>
      </c>
      <c r="X675" s="82" t="s">
        <v>2276</v>
      </c>
      <c r="Y675" s="82" t="s">
        <v>2277</v>
      </c>
      <c r="Z675" s="82" t="s">
        <v>998</v>
      </c>
      <c r="AA675" s="82" t="s">
        <v>548</v>
      </c>
      <c r="AB675" s="82" t="s">
        <v>2278</v>
      </c>
    </row>
    <row r="676" spans="1:29">
      <c r="A676" s="90">
        <v>46230</v>
      </c>
      <c r="B676" s="86" t="s">
        <v>2254</v>
      </c>
      <c r="C676" s="86" t="s">
        <v>36</v>
      </c>
      <c r="D676" s="86" t="s">
        <v>52</v>
      </c>
      <c r="E676" s="86" t="s">
        <v>47</v>
      </c>
      <c r="F676" s="89"/>
      <c r="G676" s="87"/>
      <c r="H676" s="85"/>
      <c r="I676" s="85">
        <f t="shared" si="57"/>
        <v>303.23014804845224</v>
      </c>
      <c r="J676" s="82" t="s">
        <v>2279</v>
      </c>
      <c r="K676" s="82">
        <v>7.43</v>
      </c>
      <c r="L676" s="82" t="s">
        <v>618</v>
      </c>
      <c r="M676" s="82" t="s">
        <v>2280</v>
      </c>
      <c r="N676" s="82" t="s">
        <v>2281</v>
      </c>
      <c r="O676" s="84">
        <v>2253</v>
      </c>
      <c r="P676" s="82" t="s">
        <v>1274</v>
      </c>
      <c r="Q676" s="82" t="s">
        <v>1334</v>
      </c>
      <c r="R676" s="82" t="s">
        <v>1918</v>
      </c>
      <c r="S676" s="82" t="s">
        <v>582</v>
      </c>
      <c r="T676" s="82" t="s">
        <v>869</v>
      </c>
      <c r="U676" s="82" t="s">
        <v>920</v>
      </c>
      <c r="V676" s="82" t="s">
        <v>2282</v>
      </c>
      <c r="W676" s="82" t="s">
        <v>2283</v>
      </c>
      <c r="X676" s="82" t="s">
        <v>2284</v>
      </c>
      <c r="Y676" s="82" t="s">
        <v>2285</v>
      </c>
      <c r="Z676" s="82" t="s">
        <v>548</v>
      </c>
      <c r="AA676" s="82" t="s">
        <v>548</v>
      </c>
      <c r="AB676" s="82" t="s">
        <v>2228</v>
      </c>
    </row>
    <row r="677" spans="1:29">
      <c r="A677" s="90">
        <v>46230</v>
      </c>
      <c r="B677" s="86" t="s">
        <v>2254</v>
      </c>
      <c r="C677" s="86" t="s">
        <v>36</v>
      </c>
      <c r="D677" s="91" t="s">
        <v>46</v>
      </c>
      <c r="E677" s="91" t="s">
        <v>47</v>
      </c>
      <c r="F677" s="89"/>
      <c r="G677" s="87"/>
      <c r="H677" s="85"/>
      <c r="I677" s="85">
        <f t="shared" si="57"/>
        <v>511.89979123173276</v>
      </c>
      <c r="J677" s="82" t="s">
        <v>2286</v>
      </c>
      <c r="K677" s="82">
        <v>4.79</v>
      </c>
      <c r="L677" s="82" t="s">
        <v>2287</v>
      </c>
      <c r="M677" s="82" t="s">
        <v>2288</v>
      </c>
      <c r="N677" s="82" t="s">
        <v>2289</v>
      </c>
      <c r="O677" s="84">
        <v>2452</v>
      </c>
      <c r="P677" s="82" t="s">
        <v>713</v>
      </c>
      <c r="Q677" s="82" t="s">
        <v>2290</v>
      </c>
      <c r="R677" s="82" t="s">
        <v>1690</v>
      </c>
      <c r="S677" s="82" t="s">
        <v>1797</v>
      </c>
      <c r="T677" s="82" t="s">
        <v>2291</v>
      </c>
      <c r="U677" s="82" t="s">
        <v>2292</v>
      </c>
      <c r="V677" s="82" t="s">
        <v>2293</v>
      </c>
      <c r="W677" s="82" t="s">
        <v>2294</v>
      </c>
      <c r="X677" s="82" t="s">
        <v>2295</v>
      </c>
      <c r="Y677" s="82" t="s">
        <v>2296</v>
      </c>
      <c r="Z677" s="82" t="s">
        <v>548</v>
      </c>
      <c r="AA677" s="82" t="s">
        <v>548</v>
      </c>
      <c r="AB677" s="82" t="s">
        <v>2238</v>
      </c>
    </row>
    <row r="678" spans="1:29">
      <c r="A678" s="90">
        <v>46230</v>
      </c>
      <c r="B678" s="86" t="s">
        <v>2254</v>
      </c>
      <c r="C678" s="86" t="s">
        <v>36</v>
      </c>
      <c r="D678" s="86" t="s">
        <v>48</v>
      </c>
      <c r="E678" s="91" t="s">
        <v>38</v>
      </c>
      <c r="F678" s="89">
        <v>2126</v>
      </c>
      <c r="G678" s="87"/>
      <c r="H678" s="85"/>
      <c r="I678" s="85">
        <f t="shared" si="57"/>
        <v>499.40119760479047</v>
      </c>
      <c r="J678" s="82" t="s">
        <v>1581</v>
      </c>
      <c r="K678" s="82">
        <v>5.01</v>
      </c>
      <c r="L678" s="82" t="s">
        <v>2297</v>
      </c>
      <c r="M678" s="82" t="s">
        <v>2298</v>
      </c>
      <c r="N678" s="82" t="s">
        <v>2299</v>
      </c>
      <c r="O678" s="84">
        <v>2502</v>
      </c>
      <c r="P678" s="82" t="s">
        <v>2300</v>
      </c>
      <c r="Q678" s="82" t="s">
        <v>2301</v>
      </c>
      <c r="R678" s="82" t="s">
        <v>974</v>
      </c>
      <c r="S678" s="82" t="s">
        <v>2017</v>
      </c>
      <c r="T678" s="82" t="s">
        <v>2302</v>
      </c>
      <c r="U678" s="82" t="s">
        <v>1168</v>
      </c>
      <c r="V678" s="82" t="s">
        <v>2303</v>
      </c>
      <c r="W678" s="82" t="s">
        <v>2304</v>
      </c>
      <c r="X678" s="82" t="s">
        <v>2305</v>
      </c>
      <c r="Y678" s="82" t="s">
        <v>2306</v>
      </c>
      <c r="Z678" s="82" t="s">
        <v>649</v>
      </c>
      <c r="AA678" s="82" t="s">
        <v>548</v>
      </c>
      <c r="AB678" s="82" t="s">
        <v>2307</v>
      </c>
    </row>
    <row r="679" spans="1:29">
      <c r="A679" s="90">
        <v>46230</v>
      </c>
      <c r="B679" s="86" t="s">
        <v>2254</v>
      </c>
      <c r="C679" s="86" t="s">
        <v>36</v>
      </c>
      <c r="D679" s="86" t="s">
        <v>49</v>
      </c>
      <c r="E679" s="86" t="s">
        <v>47</v>
      </c>
      <c r="F679" s="89"/>
      <c r="G679" s="87"/>
      <c r="H679" s="85"/>
      <c r="I679" s="85">
        <f t="shared" si="57"/>
        <v>384.44444444444446</v>
      </c>
      <c r="J679" s="82" t="s">
        <v>1108</v>
      </c>
      <c r="K679" s="82">
        <v>6.3</v>
      </c>
      <c r="L679" s="82" t="s">
        <v>1321</v>
      </c>
      <c r="M679" s="82" t="s">
        <v>2308</v>
      </c>
      <c r="N679" s="82" t="s">
        <v>2309</v>
      </c>
      <c r="O679" s="84">
        <v>2422</v>
      </c>
      <c r="P679" s="82" t="s">
        <v>2007</v>
      </c>
      <c r="Q679" s="82" t="s">
        <v>2310</v>
      </c>
      <c r="R679" s="82" t="s">
        <v>2311</v>
      </c>
      <c r="S679" s="82" t="s">
        <v>712</v>
      </c>
      <c r="T679" s="82" t="s">
        <v>1957</v>
      </c>
      <c r="U679" s="82" t="s">
        <v>2106</v>
      </c>
      <c r="V679" s="82" t="s">
        <v>2312</v>
      </c>
      <c r="W679" s="82" t="s">
        <v>2313</v>
      </c>
      <c r="X679" s="82" t="s">
        <v>2314</v>
      </c>
      <c r="Y679" s="82" t="s">
        <v>2315</v>
      </c>
      <c r="Z679" s="82" t="s">
        <v>548</v>
      </c>
      <c r="AA679" s="82" t="s">
        <v>548</v>
      </c>
      <c r="AB679" s="82" t="s">
        <v>1877</v>
      </c>
    </row>
    <row r="680" spans="1:29">
      <c r="A680" s="4"/>
      <c r="B680" s="8"/>
      <c r="C680" s="8"/>
      <c r="D680" s="7"/>
      <c r="E680" s="7"/>
      <c r="F680" s="13"/>
      <c r="G680" s="61"/>
      <c r="H680" s="6"/>
      <c r="I680" s="6"/>
      <c r="J680" s="2"/>
      <c r="K680" s="2"/>
      <c r="L680" s="2"/>
      <c r="M680" s="2"/>
      <c r="N680" s="2"/>
      <c r="O680" s="79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 spans="1:29">
      <c r="A681" s="4"/>
      <c r="B681" s="8"/>
      <c r="C681" s="8"/>
      <c r="D681" s="7"/>
      <c r="E681" s="7"/>
      <c r="F681" s="13"/>
      <c r="G681" s="61"/>
      <c r="H681" s="6"/>
      <c r="I681" s="6"/>
      <c r="J681" s="2"/>
      <c r="K681" s="2"/>
      <c r="L681" s="2"/>
      <c r="M681" s="2"/>
      <c r="N681" s="2"/>
      <c r="O681" s="79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 spans="1:29">
      <c r="A682" s="4"/>
      <c r="B682" s="8"/>
      <c r="C682" s="8"/>
      <c r="D682" s="7"/>
      <c r="E682" s="7"/>
      <c r="F682" s="13"/>
      <c r="G682" s="61"/>
      <c r="H682" s="6"/>
      <c r="I682" s="6"/>
      <c r="J682" s="2"/>
      <c r="K682" s="2"/>
      <c r="L682" s="2"/>
      <c r="M682" s="2"/>
      <c r="N682" s="2"/>
      <c r="O682" s="79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 spans="1:29">
      <c r="A683" s="4"/>
      <c r="B683" s="8"/>
      <c r="C683" s="8"/>
      <c r="D683" s="7"/>
      <c r="E683" s="7"/>
      <c r="F683" s="13"/>
      <c r="G683" s="61"/>
      <c r="H683" s="6"/>
      <c r="I683" s="6"/>
      <c r="J683" s="2"/>
      <c r="K683" s="2"/>
      <c r="L683" s="2"/>
      <c r="M683" s="2"/>
      <c r="N683" s="2"/>
      <c r="O683" s="79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 spans="1:29">
      <c r="A684" s="4"/>
      <c r="B684" s="8"/>
      <c r="C684" s="8"/>
      <c r="D684" s="7"/>
      <c r="E684" s="7"/>
      <c r="F684" s="13"/>
      <c r="G684" s="61"/>
      <c r="H684" s="6"/>
      <c r="I684" s="6"/>
      <c r="J684" s="2"/>
      <c r="K684" s="2"/>
      <c r="L684" s="2"/>
      <c r="M684" s="2"/>
      <c r="N684" s="2"/>
      <c r="O684" s="79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 spans="1:29">
      <c r="A685" s="4"/>
      <c r="B685" s="8"/>
      <c r="C685" s="8"/>
      <c r="D685" s="7"/>
      <c r="E685" s="7"/>
      <c r="F685" s="13"/>
      <c r="G685" s="61"/>
      <c r="H685" s="6"/>
      <c r="I685" s="6"/>
      <c r="J685" s="2"/>
      <c r="K685" s="2"/>
      <c r="L685" s="2"/>
      <c r="M685" s="2"/>
      <c r="N685" s="2"/>
      <c r="O685" s="79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 spans="1:29">
      <c r="A686" s="4"/>
      <c r="B686" s="8"/>
      <c r="C686" s="8"/>
      <c r="D686" s="7"/>
      <c r="E686" s="7"/>
      <c r="F686" s="13"/>
      <c r="G686" s="61"/>
      <c r="H686" s="6"/>
      <c r="I686" s="6"/>
      <c r="J686" s="2"/>
      <c r="K686" s="2"/>
      <c r="L686" s="2"/>
      <c r="M686" s="2"/>
      <c r="N686" s="2"/>
      <c r="O686" s="79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 spans="1:29">
      <c r="A687" s="4"/>
      <c r="B687" s="8"/>
      <c r="C687" s="8"/>
      <c r="D687" s="7"/>
      <c r="E687" s="7"/>
      <c r="F687" s="13"/>
      <c r="G687" s="61"/>
      <c r="H687" s="6"/>
      <c r="I687" s="6"/>
      <c r="J687" s="2"/>
      <c r="K687" s="2"/>
      <c r="L687" s="2"/>
      <c r="M687" s="2"/>
      <c r="N687" s="2"/>
      <c r="O687" s="79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 spans="1:29">
      <c r="A688" s="4"/>
      <c r="B688" s="8"/>
      <c r="C688" s="8"/>
      <c r="D688" s="7"/>
      <c r="E688" s="7"/>
      <c r="F688" s="13"/>
      <c r="G688" s="61"/>
      <c r="H688" s="6"/>
      <c r="I688" s="6"/>
      <c r="J688" s="2"/>
      <c r="K688" s="2"/>
      <c r="L688" s="2"/>
      <c r="M688" s="2"/>
      <c r="N688" s="2"/>
      <c r="O688" s="79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 spans="1:28">
      <c r="A689" s="4"/>
      <c r="B689" s="8"/>
      <c r="C689" s="8"/>
      <c r="D689" s="7"/>
      <c r="E689" s="7"/>
      <c r="F689" s="13"/>
      <c r="G689" s="61"/>
      <c r="H689" s="6"/>
      <c r="I689" s="6"/>
      <c r="J689" s="2"/>
      <c r="K689" s="2"/>
      <c r="L689" s="2"/>
      <c r="M689" s="2"/>
      <c r="N689" s="2"/>
      <c r="O689" s="79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 spans="1:28">
      <c r="A690" s="4"/>
      <c r="B690" s="8"/>
      <c r="C690" s="8"/>
      <c r="D690" s="7"/>
      <c r="E690" s="7"/>
      <c r="F690" s="13"/>
      <c r="G690" s="61"/>
      <c r="H690" s="6"/>
      <c r="I690" s="6"/>
      <c r="J690" s="2"/>
      <c r="K690" s="2"/>
      <c r="L690" s="2"/>
      <c r="M690" s="2"/>
      <c r="N690" s="2"/>
      <c r="O690" s="79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 spans="1:28">
      <c r="A691" s="4"/>
      <c r="B691" s="8"/>
      <c r="C691" s="8"/>
      <c r="D691" s="7"/>
      <c r="E691" s="7"/>
      <c r="F691" s="13"/>
      <c r="G691" s="61"/>
      <c r="H691" s="6"/>
      <c r="I691" s="6"/>
      <c r="J691" s="2"/>
      <c r="K691" s="2"/>
      <c r="L691" s="2"/>
      <c r="M691" s="2"/>
      <c r="N691" s="2"/>
      <c r="O691" s="79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 spans="1:28">
      <c r="A692" s="4"/>
      <c r="B692" s="8"/>
      <c r="C692" s="8"/>
      <c r="D692" s="7"/>
      <c r="E692" s="7"/>
      <c r="F692" s="13"/>
      <c r="G692" s="61"/>
      <c r="H692" s="6"/>
      <c r="I692" s="6"/>
      <c r="J692" s="2"/>
      <c r="K692" s="2"/>
      <c r="L692" s="2"/>
      <c r="M692" s="2"/>
      <c r="N692" s="2"/>
      <c r="O692" s="79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 spans="1:28">
      <c r="A693" s="4"/>
      <c r="B693" s="8"/>
      <c r="C693" s="8"/>
      <c r="D693" s="7"/>
      <c r="E693" s="7"/>
      <c r="F693" s="13"/>
      <c r="G693" s="61"/>
      <c r="H693" s="6"/>
      <c r="I693" s="6"/>
      <c r="J693" s="2"/>
      <c r="K693" s="2"/>
      <c r="L693" s="2"/>
      <c r="M693" s="2"/>
      <c r="N693" s="2"/>
      <c r="O693" s="79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 spans="1:28">
      <c r="A694" s="4"/>
      <c r="B694" s="8"/>
      <c r="C694" s="8"/>
      <c r="D694" s="7"/>
      <c r="E694" s="7"/>
      <c r="F694" s="13"/>
      <c r="G694" s="61"/>
      <c r="H694" s="6"/>
      <c r="I694" s="6"/>
      <c r="J694" s="2"/>
      <c r="K694" s="2"/>
      <c r="L694" s="2"/>
      <c r="M694" s="2"/>
      <c r="N694" s="2"/>
      <c r="O694" s="79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 spans="1:28">
      <c r="A695" s="4"/>
      <c r="B695" s="8"/>
      <c r="C695" s="8"/>
      <c r="D695" s="7"/>
      <c r="E695" s="7"/>
      <c r="F695" s="13"/>
      <c r="G695" s="61"/>
      <c r="H695" s="6"/>
      <c r="I695" s="6"/>
      <c r="J695" s="2"/>
      <c r="K695" s="2"/>
      <c r="L695" s="2"/>
      <c r="M695" s="2"/>
      <c r="N695" s="2"/>
      <c r="O695" s="79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 spans="1:28">
      <c r="A696" s="4"/>
      <c r="B696" s="8"/>
      <c r="C696" s="8"/>
      <c r="D696" s="7"/>
      <c r="E696" s="7"/>
      <c r="F696" s="13"/>
      <c r="G696" s="61"/>
      <c r="H696" s="6"/>
      <c r="I696" s="6"/>
      <c r="J696" s="2"/>
      <c r="K696" s="2"/>
      <c r="L696" s="2"/>
      <c r="M696" s="2"/>
      <c r="N696" s="2"/>
      <c r="O696" s="79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spans="1:28">
      <c r="A697" s="4"/>
      <c r="B697" s="8"/>
      <c r="C697" s="8"/>
      <c r="D697" s="7"/>
      <c r="E697" s="7"/>
      <c r="F697" s="13"/>
      <c r="G697" s="61"/>
      <c r="H697" s="6"/>
      <c r="I697" s="6"/>
      <c r="J697" s="2"/>
      <c r="K697" s="2"/>
      <c r="L697" s="2"/>
      <c r="M697" s="2"/>
      <c r="N697" s="2"/>
      <c r="O697" s="79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spans="1:28">
      <c r="A698" s="4"/>
      <c r="B698" s="8"/>
      <c r="C698" s="8"/>
      <c r="D698" s="7"/>
      <c r="E698" s="7"/>
      <c r="F698" s="13"/>
      <c r="G698" s="61"/>
      <c r="H698" s="6"/>
      <c r="I698" s="6"/>
      <c r="J698" s="2"/>
      <c r="K698" s="2"/>
      <c r="L698" s="2"/>
      <c r="M698" s="2"/>
      <c r="N698" s="2"/>
      <c r="O698" s="79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spans="1:28">
      <c r="A699" s="4"/>
      <c r="B699" s="8"/>
      <c r="C699" s="8"/>
      <c r="D699" s="7"/>
      <c r="E699" s="7"/>
      <c r="F699" s="13"/>
      <c r="G699" s="61"/>
      <c r="H699" s="6"/>
      <c r="I699" s="6"/>
      <c r="J699" s="2"/>
      <c r="K699" s="2"/>
      <c r="L699" s="2"/>
      <c r="M699" s="2"/>
      <c r="N699" s="2"/>
      <c r="O699" s="79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spans="1:28">
      <c r="A700" s="4"/>
      <c r="B700" s="8"/>
      <c r="C700" s="8"/>
      <c r="D700" s="7"/>
      <c r="E700" s="7"/>
      <c r="F700" s="13"/>
      <c r="G700" s="61"/>
      <c r="H700" s="6"/>
      <c r="I700" s="6"/>
      <c r="J700" s="2"/>
      <c r="K700" s="2"/>
      <c r="L700" s="2"/>
      <c r="M700" s="2"/>
      <c r="N700" s="2"/>
      <c r="O700" s="79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spans="1:28">
      <c r="A701" s="4"/>
      <c r="B701" s="8"/>
      <c r="C701" s="8"/>
      <c r="D701" s="7"/>
      <c r="E701" s="7"/>
      <c r="F701" s="13"/>
      <c r="G701" s="61"/>
      <c r="H701" s="6"/>
      <c r="I701" s="6"/>
      <c r="J701" s="2"/>
      <c r="K701" s="2"/>
      <c r="L701" s="2"/>
      <c r="M701" s="2"/>
      <c r="N701" s="2"/>
      <c r="O701" s="79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>
      <c r="A702" s="4"/>
      <c r="B702" s="8"/>
      <c r="C702" s="8"/>
      <c r="D702" s="7"/>
      <c r="E702" s="7"/>
      <c r="F702" s="13"/>
      <c r="G702" s="61"/>
      <c r="H702" s="6"/>
      <c r="I702" s="6"/>
      <c r="J702" s="2"/>
      <c r="K702" s="2"/>
      <c r="L702" s="2"/>
      <c r="M702" s="2"/>
      <c r="N702" s="2"/>
      <c r="O702" s="79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spans="1:28">
      <c r="A703" s="4"/>
      <c r="B703" s="8"/>
      <c r="C703" s="8"/>
      <c r="D703" s="7"/>
      <c r="E703" s="7"/>
      <c r="F703" s="13"/>
      <c r="G703" s="61"/>
      <c r="H703" s="6"/>
      <c r="I703" s="6"/>
      <c r="J703" s="2"/>
      <c r="K703" s="2"/>
      <c r="L703" s="2"/>
      <c r="M703" s="2"/>
      <c r="N703" s="2"/>
      <c r="O703" s="79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spans="1:28">
      <c r="A704" s="4"/>
      <c r="B704" s="8"/>
      <c r="C704" s="8"/>
      <c r="D704" s="7"/>
      <c r="E704" s="7"/>
      <c r="F704" s="13"/>
      <c r="G704" s="61"/>
      <c r="H704" s="6"/>
      <c r="I704" s="6"/>
      <c r="J704" s="2"/>
      <c r="K704" s="2"/>
      <c r="L704" s="2"/>
      <c r="M704" s="2"/>
      <c r="N704" s="2"/>
      <c r="O704" s="79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spans="1:28">
      <c r="A705" s="4"/>
      <c r="B705" s="8"/>
      <c r="C705" s="8"/>
      <c r="D705" s="7"/>
      <c r="E705" s="7"/>
      <c r="F705" s="13"/>
      <c r="G705" s="61"/>
      <c r="H705" s="6"/>
      <c r="I705" s="6"/>
      <c r="J705" s="2"/>
      <c r="K705" s="2"/>
      <c r="L705" s="2"/>
      <c r="M705" s="2"/>
      <c r="N705" s="2"/>
      <c r="O705" s="79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>
      <c r="A706" s="4"/>
      <c r="B706" s="8"/>
      <c r="C706" s="8"/>
      <c r="D706" s="7"/>
      <c r="E706" s="7"/>
      <c r="F706" s="13"/>
      <c r="G706" s="61"/>
      <c r="H706" s="6"/>
      <c r="I706" s="6"/>
      <c r="J706" s="2"/>
      <c r="K706" s="2"/>
      <c r="L706" s="2"/>
      <c r="M706" s="2"/>
      <c r="N706" s="2"/>
      <c r="O706" s="79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spans="1:28">
      <c r="A707" s="4"/>
      <c r="B707" s="8"/>
      <c r="C707" s="8"/>
      <c r="D707" s="7"/>
      <c r="E707" s="7"/>
      <c r="F707" s="13"/>
      <c r="G707" s="61"/>
      <c r="H707" s="6"/>
      <c r="I707" s="6"/>
      <c r="J707" s="2"/>
      <c r="K707" s="2"/>
      <c r="L707" s="2"/>
      <c r="M707" s="2"/>
      <c r="N707" s="2"/>
      <c r="O707" s="79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>
      <c r="A708" s="4"/>
      <c r="B708" s="8"/>
      <c r="C708" s="8"/>
      <c r="D708" s="7"/>
      <c r="E708" s="7"/>
      <c r="F708" s="13"/>
      <c r="G708" s="61"/>
      <c r="H708" s="6"/>
      <c r="I708" s="6"/>
      <c r="J708" s="2"/>
      <c r="K708" s="2"/>
      <c r="L708" s="2"/>
      <c r="M708" s="2"/>
      <c r="N708" s="2"/>
      <c r="O708" s="79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spans="1:28">
      <c r="A709" s="4"/>
      <c r="B709" s="8"/>
      <c r="C709" s="8"/>
      <c r="D709" s="7"/>
      <c r="E709" s="7"/>
      <c r="F709" s="13"/>
      <c r="G709" s="61"/>
      <c r="H709" s="6"/>
      <c r="I709" s="6"/>
      <c r="J709" s="2"/>
      <c r="K709" s="2"/>
      <c r="L709" s="2"/>
      <c r="M709" s="2"/>
      <c r="N709" s="2"/>
      <c r="O709" s="79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spans="1:28">
      <c r="A710" s="4"/>
      <c r="B710" s="8"/>
      <c r="C710" s="8"/>
      <c r="D710" s="7"/>
      <c r="E710" s="7"/>
      <c r="F710" s="13"/>
      <c r="G710" s="61"/>
      <c r="H710" s="6"/>
      <c r="I710" s="6"/>
      <c r="J710" s="2"/>
      <c r="K710" s="2"/>
      <c r="L710" s="2"/>
      <c r="M710" s="2"/>
      <c r="N710" s="2"/>
      <c r="O710" s="79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spans="1:28">
      <c r="A711" s="4"/>
      <c r="B711" s="8"/>
      <c r="C711" s="8"/>
      <c r="D711" s="7"/>
      <c r="E711" s="7"/>
      <c r="F711" s="13"/>
      <c r="G711" s="61"/>
      <c r="H711" s="6"/>
      <c r="I711" s="6"/>
      <c r="J711" s="2"/>
      <c r="K711" s="2"/>
      <c r="L711" s="2"/>
      <c r="M711" s="2"/>
      <c r="N711" s="2"/>
      <c r="O711" s="79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spans="1:28">
      <c r="A712" s="4"/>
      <c r="B712" s="8"/>
      <c r="C712" s="8"/>
      <c r="D712" s="7"/>
      <c r="E712" s="7"/>
      <c r="F712" s="13"/>
      <c r="G712" s="61"/>
      <c r="H712" s="6"/>
      <c r="I712" s="6"/>
      <c r="J712" s="2"/>
      <c r="K712" s="2"/>
      <c r="L712" s="2"/>
      <c r="M712" s="2"/>
      <c r="N712" s="2"/>
      <c r="O712" s="79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spans="1:28">
      <c r="A713" s="4"/>
      <c r="B713" s="8"/>
      <c r="C713" s="8"/>
      <c r="D713" s="7"/>
      <c r="E713" s="7"/>
      <c r="F713" s="13"/>
      <c r="G713" s="61"/>
      <c r="H713" s="6"/>
      <c r="I713" s="6"/>
      <c r="J713" s="2"/>
      <c r="K713" s="2"/>
      <c r="L713" s="2"/>
      <c r="M713" s="2"/>
      <c r="N713" s="2"/>
      <c r="O713" s="79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spans="1:28">
      <c r="A714" s="4"/>
      <c r="B714" s="8"/>
      <c r="C714" s="8"/>
      <c r="D714" s="7"/>
      <c r="E714" s="7"/>
      <c r="F714" s="13"/>
      <c r="G714" s="61"/>
      <c r="H714" s="6"/>
      <c r="I714" s="6"/>
      <c r="J714" s="2"/>
      <c r="K714" s="2"/>
      <c r="L714" s="2"/>
      <c r="M714" s="2"/>
      <c r="N714" s="2"/>
      <c r="O714" s="79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spans="1:28">
      <c r="A715" s="4"/>
      <c r="B715" s="8"/>
      <c r="C715" s="8"/>
      <c r="D715" s="7"/>
      <c r="E715" s="7"/>
      <c r="F715" s="13"/>
      <c r="G715" s="61"/>
      <c r="H715" s="6"/>
      <c r="I715" s="6"/>
      <c r="J715" s="2"/>
      <c r="K715" s="2"/>
      <c r="L715" s="2"/>
      <c r="M715" s="2"/>
      <c r="N715" s="2"/>
      <c r="O715" s="79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spans="1:28">
      <c r="A716" s="4"/>
      <c r="B716" s="8"/>
      <c r="C716" s="8"/>
      <c r="D716" s="7"/>
      <c r="E716" s="7"/>
      <c r="F716" s="13"/>
      <c r="G716" s="61"/>
      <c r="H716" s="6"/>
      <c r="I716" s="6"/>
      <c r="J716" s="2"/>
      <c r="K716" s="2"/>
      <c r="L716" s="2"/>
      <c r="M716" s="2"/>
      <c r="N716" s="2"/>
      <c r="O716" s="79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>
      <c r="A717" s="4"/>
      <c r="B717" s="8"/>
      <c r="C717" s="8"/>
      <c r="D717" s="7"/>
      <c r="E717" s="7"/>
      <c r="F717" s="13"/>
      <c r="G717" s="61"/>
      <c r="H717" s="6"/>
      <c r="I717" s="6"/>
      <c r="J717" s="2"/>
      <c r="K717" s="2"/>
      <c r="L717" s="2"/>
      <c r="M717" s="2"/>
      <c r="N717" s="2"/>
      <c r="O717" s="79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spans="1:28">
      <c r="A718" s="4"/>
      <c r="B718" s="8"/>
      <c r="C718" s="8"/>
      <c r="D718" s="7"/>
      <c r="E718" s="7"/>
      <c r="F718" s="13"/>
      <c r="G718" s="61"/>
      <c r="H718" s="6"/>
      <c r="I718" s="6"/>
      <c r="J718" s="2"/>
      <c r="K718" s="2"/>
      <c r="L718" s="2"/>
      <c r="M718" s="2"/>
      <c r="N718" s="2"/>
      <c r="O718" s="79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spans="1:28">
      <c r="A719" s="4"/>
      <c r="B719" s="8"/>
      <c r="C719" s="8"/>
      <c r="D719" s="7"/>
      <c r="E719" s="7"/>
      <c r="F719" s="13"/>
      <c r="G719" s="61"/>
      <c r="H719" s="6"/>
      <c r="I719" s="6"/>
      <c r="J719" s="2"/>
      <c r="K719" s="2"/>
      <c r="L719" s="2"/>
      <c r="M719" s="2"/>
      <c r="N719" s="2"/>
      <c r="O719" s="79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spans="1:28">
      <c r="A720" s="4"/>
      <c r="B720" s="8"/>
      <c r="C720" s="8"/>
      <c r="D720" s="7"/>
      <c r="E720" s="7"/>
      <c r="F720" s="13"/>
      <c r="G720" s="61"/>
      <c r="H720" s="6"/>
      <c r="I720" s="6"/>
      <c r="J720" s="2"/>
      <c r="K720" s="2"/>
      <c r="L720" s="2"/>
      <c r="M720" s="2"/>
      <c r="N720" s="2"/>
      <c r="O720" s="79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spans="1:28">
      <c r="A721" s="4"/>
      <c r="B721" s="8"/>
      <c r="C721" s="8"/>
      <c r="D721" s="7"/>
      <c r="E721" s="7"/>
      <c r="F721" s="13"/>
      <c r="G721" s="61"/>
      <c r="H721" s="6"/>
      <c r="I721" s="6"/>
      <c r="J721" s="2"/>
      <c r="K721" s="2"/>
      <c r="L721" s="2"/>
      <c r="M721" s="2"/>
      <c r="N721" s="2"/>
      <c r="O721" s="79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spans="1:28">
      <c r="A722" s="4"/>
      <c r="B722" s="8"/>
      <c r="C722" s="8"/>
      <c r="D722" s="7"/>
      <c r="E722" s="7"/>
      <c r="F722" s="13"/>
      <c r="G722" s="61"/>
      <c r="H722" s="6"/>
      <c r="I722" s="6"/>
      <c r="J722" s="2"/>
      <c r="K722" s="2"/>
      <c r="L722" s="2"/>
      <c r="M722" s="2"/>
      <c r="N722" s="2"/>
      <c r="O722" s="79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spans="1:28">
      <c r="A723" s="4"/>
      <c r="B723" s="8"/>
      <c r="C723" s="8"/>
      <c r="D723" s="7"/>
      <c r="E723" s="7"/>
      <c r="F723" s="13"/>
      <c r="G723" s="61"/>
      <c r="H723" s="6"/>
      <c r="I723" s="6"/>
      <c r="J723" s="2"/>
      <c r="K723" s="2"/>
      <c r="L723" s="2"/>
      <c r="M723" s="2"/>
      <c r="N723" s="2"/>
      <c r="O723" s="79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spans="1:28">
      <c r="A724" s="4"/>
      <c r="B724" s="8"/>
      <c r="C724" s="8"/>
      <c r="D724" s="7"/>
      <c r="E724" s="7"/>
      <c r="F724" s="13"/>
      <c r="G724" s="61"/>
      <c r="H724" s="6"/>
      <c r="I724" s="6"/>
      <c r="J724" s="2"/>
      <c r="K724" s="2"/>
      <c r="L724" s="2"/>
      <c r="M724" s="2"/>
      <c r="N724" s="2"/>
      <c r="O724" s="79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spans="1:28">
      <c r="A725" s="4"/>
      <c r="B725" s="8"/>
      <c r="C725" s="8"/>
      <c r="D725" s="7"/>
      <c r="E725" s="7"/>
      <c r="F725" s="13"/>
      <c r="G725" s="61"/>
      <c r="H725" s="6"/>
      <c r="I725" s="6"/>
      <c r="J725" s="2"/>
      <c r="K725" s="2"/>
      <c r="L725" s="2"/>
      <c r="M725" s="2"/>
      <c r="N725" s="2"/>
      <c r="O725" s="79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spans="1:28">
      <c r="A726" s="4"/>
      <c r="B726" s="8"/>
      <c r="C726" s="8"/>
      <c r="D726" s="7"/>
      <c r="E726" s="7"/>
      <c r="F726" s="13"/>
      <c r="G726" s="61"/>
      <c r="H726" s="6"/>
      <c r="I726" s="6"/>
      <c r="J726" s="2"/>
      <c r="K726" s="2"/>
      <c r="L726" s="2"/>
      <c r="M726" s="2"/>
      <c r="N726" s="2"/>
      <c r="O726" s="79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spans="1:28">
      <c r="A727" s="4"/>
      <c r="B727" s="8"/>
      <c r="C727" s="8"/>
      <c r="D727" s="7"/>
      <c r="E727" s="7"/>
      <c r="F727" s="13"/>
      <c r="G727" s="61"/>
      <c r="H727" s="6"/>
      <c r="I727" s="6"/>
      <c r="J727" s="2"/>
      <c r="K727" s="2"/>
      <c r="L727" s="2"/>
      <c r="M727" s="2"/>
      <c r="N727" s="2"/>
      <c r="O727" s="79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spans="1:28">
      <c r="A728" s="4"/>
      <c r="B728" s="8"/>
      <c r="C728" s="8"/>
      <c r="D728" s="7"/>
      <c r="E728" s="7"/>
      <c r="F728" s="13"/>
      <c r="G728" s="61"/>
      <c r="H728" s="6"/>
      <c r="I728" s="6"/>
      <c r="J728" s="2"/>
      <c r="K728" s="2"/>
      <c r="L728" s="2"/>
      <c r="M728" s="2"/>
      <c r="N728" s="2"/>
      <c r="O728" s="79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spans="1:28">
      <c r="A729" s="4"/>
      <c r="B729" s="8"/>
      <c r="C729" s="8"/>
      <c r="D729" s="7"/>
      <c r="E729" s="7"/>
      <c r="F729" s="13"/>
      <c r="G729" s="61"/>
      <c r="H729" s="6"/>
      <c r="I729" s="6"/>
      <c r="J729" s="2"/>
      <c r="K729" s="2"/>
      <c r="L729" s="2"/>
      <c r="M729" s="2"/>
      <c r="N729" s="2"/>
      <c r="O729" s="79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spans="1:28">
      <c r="A730" s="4"/>
      <c r="B730" s="8"/>
      <c r="C730" s="8"/>
      <c r="D730" s="7"/>
      <c r="E730" s="7"/>
      <c r="F730" s="13"/>
      <c r="G730" s="61"/>
      <c r="H730" s="6"/>
      <c r="I730" s="6"/>
      <c r="J730" s="2"/>
      <c r="K730" s="2"/>
      <c r="L730" s="2"/>
      <c r="M730" s="2"/>
      <c r="N730" s="2"/>
      <c r="O730" s="79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spans="1:28">
      <c r="A731" s="4"/>
      <c r="B731" s="8"/>
      <c r="C731" s="8"/>
      <c r="D731" s="7"/>
      <c r="E731" s="7"/>
      <c r="F731" s="13"/>
      <c r="G731" s="61"/>
      <c r="H731" s="6"/>
      <c r="I731" s="6"/>
      <c r="J731" s="2"/>
      <c r="K731" s="2"/>
      <c r="L731" s="2"/>
      <c r="M731" s="2"/>
      <c r="N731" s="2"/>
      <c r="O731" s="79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spans="1:28">
      <c r="A732" s="4"/>
      <c r="B732" s="8"/>
      <c r="C732" s="8"/>
      <c r="D732" s="7"/>
      <c r="E732" s="7"/>
      <c r="F732" s="13"/>
      <c r="G732" s="61"/>
      <c r="H732" s="6"/>
      <c r="I732" s="6"/>
      <c r="J732" s="2"/>
      <c r="K732" s="2"/>
      <c r="L732" s="2"/>
      <c r="M732" s="2"/>
      <c r="N732" s="2"/>
      <c r="O732" s="79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spans="1:28">
      <c r="A733" s="4"/>
      <c r="B733" s="8"/>
      <c r="C733" s="8"/>
      <c r="D733" s="7"/>
      <c r="E733" s="7"/>
      <c r="F733" s="13"/>
      <c r="G733" s="61"/>
      <c r="H733" s="6"/>
      <c r="I733" s="6"/>
      <c r="J733" s="2"/>
      <c r="K733" s="2"/>
      <c r="L733" s="2"/>
      <c r="M733" s="2"/>
      <c r="N733" s="2"/>
      <c r="O733" s="79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>
      <c r="A734" s="4"/>
      <c r="B734" s="8"/>
      <c r="C734" s="8"/>
      <c r="D734" s="7"/>
      <c r="E734" s="7"/>
      <c r="F734" s="13"/>
      <c r="G734" s="61"/>
      <c r="H734" s="6"/>
      <c r="I734" s="6"/>
      <c r="J734" s="2"/>
      <c r="K734" s="2"/>
      <c r="L734" s="2"/>
      <c r="M734" s="2"/>
      <c r="N734" s="2"/>
      <c r="O734" s="79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spans="1:28">
      <c r="A735" s="4"/>
      <c r="B735" s="8"/>
      <c r="C735" s="8"/>
      <c r="D735" s="7"/>
      <c r="E735" s="7"/>
      <c r="F735" s="13"/>
      <c r="G735" s="61"/>
      <c r="H735" s="6"/>
      <c r="I735" s="6"/>
      <c r="J735" s="2"/>
      <c r="K735" s="2"/>
      <c r="L735" s="2"/>
      <c r="M735" s="2"/>
      <c r="N735" s="2"/>
      <c r="O735" s="79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spans="1:28">
      <c r="A736" s="4"/>
      <c r="B736" s="8"/>
      <c r="C736" s="8"/>
      <c r="D736" s="7"/>
      <c r="E736" s="7"/>
      <c r="F736" s="13"/>
      <c r="G736" s="61"/>
      <c r="H736" s="6"/>
      <c r="I736" s="6"/>
      <c r="J736" s="2"/>
      <c r="K736" s="2"/>
      <c r="L736" s="2"/>
      <c r="M736" s="2"/>
      <c r="N736" s="2"/>
      <c r="O736" s="79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spans="1:28">
      <c r="A737" s="4"/>
      <c r="B737" s="8"/>
      <c r="C737" s="8"/>
      <c r="D737" s="7"/>
      <c r="E737" s="7"/>
      <c r="F737" s="13"/>
      <c r="G737" s="61"/>
      <c r="H737" s="6"/>
      <c r="I737" s="6"/>
      <c r="J737" s="2"/>
      <c r="K737" s="2"/>
      <c r="L737" s="2"/>
      <c r="M737" s="2"/>
      <c r="N737" s="2"/>
      <c r="O737" s="79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spans="1:28">
      <c r="A738" s="4"/>
      <c r="B738" s="8"/>
      <c r="C738" s="8"/>
      <c r="D738" s="7"/>
      <c r="E738" s="7"/>
      <c r="F738" s="13"/>
      <c r="G738" s="61"/>
      <c r="H738" s="6"/>
      <c r="I738" s="6"/>
      <c r="J738" s="2"/>
      <c r="K738" s="2"/>
      <c r="L738" s="2"/>
      <c r="M738" s="2"/>
      <c r="N738" s="2"/>
      <c r="O738" s="79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spans="1:28">
      <c r="A739" s="4"/>
      <c r="B739" s="8"/>
      <c r="C739" s="8"/>
      <c r="D739" s="7"/>
      <c r="E739" s="7"/>
      <c r="F739" s="13"/>
      <c r="G739" s="61"/>
      <c r="H739" s="6"/>
      <c r="I739" s="6"/>
      <c r="J739" s="2"/>
      <c r="K739" s="2"/>
      <c r="L739" s="2"/>
      <c r="M739" s="2"/>
      <c r="N739" s="2"/>
      <c r="O739" s="79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spans="1:28">
      <c r="A740" s="4"/>
      <c r="B740" s="8"/>
      <c r="C740" s="8"/>
      <c r="D740" s="7"/>
      <c r="E740" s="7"/>
      <c r="F740" s="13"/>
      <c r="G740" s="61"/>
      <c r="H740" s="6"/>
      <c r="I740" s="6"/>
      <c r="J740" s="2"/>
      <c r="K740" s="2"/>
      <c r="L740" s="2"/>
      <c r="M740" s="2"/>
      <c r="N740" s="2"/>
      <c r="O740" s="79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spans="1:28">
      <c r="A741" s="4"/>
      <c r="B741" s="8"/>
      <c r="C741" s="8"/>
      <c r="D741" s="7"/>
      <c r="E741" s="7"/>
      <c r="F741" s="13"/>
      <c r="G741" s="61"/>
      <c r="H741" s="6"/>
      <c r="I741" s="6"/>
      <c r="J741" s="2"/>
      <c r="K741" s="2"/>
      <c r="L741" s="2"/>
      <c r="M741" s="2"/>
      <c r="N741" s="2"/>
      <c r="O741" s="79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spans="1:28">
      <c r="A742" s="4"/>
      <c r="B742" s="8"/>
      <c r="C742" s="8"/>
      <c r="D742" s="7"/>
      <c r="E742" s="7"/>
      <c r="F742" s="13"/>
      <c r="G742" s="61"/>
      <c r="H742" s="6"/>
      <c r="I742" s="6"/>
      <c r="J742" s="2"/>
      <c r="K742" s="2"/>
      <c r="L742" s="2"/>
      <c r="M742" s="2"/>
      <c r="N742" s="2"/>
      <c r="O742" s="79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spans="1:28">
      <c r="A743" s="4"/>
      <c r="B743" s="8"/>
      <c r="C743" s="8"/>
      <c r="D743" s="7"/>
      <c r="E743" s="7"/>
      <c r="F743" s="13"/>
      <c r="G743" s="61"/>
      <c r="H743" s="6"/>
      <c r="I743" s="6"/>
      <c r="J743" s="2"/>
      <c r="K743" s="2"/>
      <c r="L743" s="2"/>
      <c r="M743" s="2"/>
      <c r="N743" s="2"/>
      <c r="O743" s="79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spans="1:28">
      <c r="A744" s="4"/>
      <c r="B744" s="8"/>
      <c r="C744" s="8"/>
      <c r="D744" s="7"/>
      <c r="E744" s="7"/>
      <c r="F744" s="13"/>
      <c r="G744" s="61"/>
      <c r="H744" s="6"/>
      <c r="I744" s="6"/>
      <c r="J744" s="2"/>
      <c r="K744" s="2"/>
      <c r="L744" s="2"/>
      <c r="M744" s="2"/>
      <c r="N744" s="2"/>
      <c r="O744" s="79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spans="1:28">
      <c r="A745" s="4"/>
      <c r="B745" s="8"/>
      <c r="C745" s="8"/>
      <c r="D745" s="7"/>
      <c r="E745" s="7"/>
      <c r="F745" s="13"/>
      <c r="G745" s="61"/>
      <c r="H745" s="6"/>
      <c r="I745" s="6"/>
      <c r="J745" s="2"/>
      <c r="K745" s="2"/>
      <c r="L745" s="2"/>
      <c r="M745" s="2"/>
      <c r="N745" s="2"/>
      <c r="O745" s="79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spans="1:28">
      <c r="A746" s="4"/>
      <c r="B746" s="8"/>
      <c r="C746" s="8"/>
      <c r="D746" s="7"/>
      <c r="E746" s="7"/>
      <c r="F746" s="13"/>
      <c r="G746" s="61"/>
      <c r="H746" s="6"/>
      <c r="I746" s="6"/>
      <c r="J746" s="2"/>
      <c r="K746" s="2"/>
      <c r="L746" s="2"/>
      <c r="M746" s="2"/>
      <c r="N746" s="2"/>
      <c r="O746" s="79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spans="1:28">
      <c r="A747" s="4"/>
      <c r="B747" s="8"/>
      <c r="C747" s="8"/>
      <c r="D747" s="7"/>
      <c r="E747" s="7"/>
      <c r="F747" s="13"/>
      <c r="G747" s="61"/>
      <c r="H747" s="6"/>
      <c r="I747" s="6"/>
      <c r="J747" s="2"/>
      <c r="K747" s="2"/>
      <c r="L747" s="2"/>
      <c r="M747" s="2"/>
      <c r="N747" s="2"/>
      <c r="O747" s="79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spans="1:28">
      <c r="A748" s="4"/>
      <c r="B748" s="8"/>
      <c r="C748" s="8"/>
      <c r="D748" s="7"/>
      <c r="E748" s="7"/>
      <c r="F748" s="13"/>
      <c r="G748" s="61"/>
      <c r="H748" s="6"/>
      <c r="I748" s="6"/>
      <c r="J748" s="2"/>
      <c r="K748" s="2"/>
      <c r="L748" s="2"/>
      <c r="M748" s="2"/>
      <c r="N748" s="2"/>
      <c r="O748" s="79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spans="1:28">
      <c r="A749" s="4"/>
      <c r="B749" s="8"/>
      <c r="C749" s="8"/>
      <c r="D749" s="7"/>
      <c r="E749" s="7"/>
      <c r="F749" s="13"/>
      <c r="G749" s="61"/>
      <c r="H749" s="6"/>
      <c r="I749" s="6"/>
      <c r="J749" s="2"/>
      <c r="K749" s="2"/>
      <c r="L749" s="2"/>
      <c r="M749" s="2"/>
      <c r="N749" s="2"/>
      <c r="O749" s="79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spans="1:28">
      <c r="A750" s="4"/>
      <c r="B750" s="8"/>
      <c r="C750" s="8"/>
      <c r="D750" s="7"/>
      <c r="E750" s="7"/>
      <c r="F750" s="13"/>
      <c r="G750" s="61"/>
      <c r="H750" s="6"/>
      <c r="I750" s="6"/>
      <c r="J750" s="2"/>
      <c r="K750" s="2"/>
      <c r="L750" s="2"/>
      <c r="M750" s="2"/>
      <c r="N750" s="2"/>
      <c r="O750" s="79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spans="1:28">
      <c r="A751" s="4"/>
      <c r="B751" s="8"/>
      <c r="C751" s="8"/>
      <c r="D751" s="7"/>
      <c r="E751" s="7"/>
      <c r="F751" s="13"/>
      <c r="G751" s="61"/>
      <c r="H751" s="6"/>
      <c r="I751" s="6"/>
      <c r="J751" s="2"/>
      <c r="K751" s="2"/>
      <c r="L751" s="2"/>
      <c r="M751" s="2"/>
      <c r="N751" s="2"/>
      <c r="O751" s="79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spans="1:28">
      <c r="A752" s="4"/>
      <c r="B752" s="8"/>
      <c r="C752" s="8"/>
      <c r="D752" s="7"/>
      <c r="E752" s="7"/>
      <c r="F752" s="13"/>
      <c r="G752" s="61"/>
      <c r="H752" s="6"/>
      <c r="I752" s="6"/>
      <c r="J752" s="2"/>
      <c r="K752" s="2"/>
      <c r="L752" s="2"/>
      <c r="M752" s="2"/>
      <c r="N752" s="2"/>
      <c r="O752" s="79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spans="1:28">
      <c r="A753" s="4"/>
      <c r="B753" s="8"/>
      <c r="C753" s="8"/>
      <c r="D753" s="7"/>
      <c r="E753" s="7"/>
      <c r="F753" s="13"/>
      <c r="G753" s="61"/>
      <c r="H753" s="6"/>
      <c r="I753" s="6"/>
      <c r="J753" s="2"/>
      <c r="K753" s="2"/>
      <c r="L753" s="2"/>
      <c r="M753" s="2"/>
      <c r="N753" s="2"/>
      <c r="O753" s="79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spans="1:28">
      <c r="A754" s="4"/>
      <c r="B754" s="8"/>
      <c r="C754" s="8"/>
      <c r="D754" s="7"/>
      <c r="E754" s="7"/>
      <c r="F754" s="13"/>
      <c r="G754" s="61"/>
      <c r="H754" s="6"/>
      <c r="I754" s="6"/>
      <c r="J754" s="2"/>
      <c r="K754" s="2"/>
      <c r="L754" s="2"/>
      <c r="M754" s="2"/>
      <c r="N754" s="2"/>
      <c r="O754" s="79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spans="1:28">
      <c r="A755" s="4"/>
      <c r="B755" s="8"/>
      <c r="C755" s="8"/>
      <c r="D755" s="7"/>
      <c r="E755" s="7"/>
      <c r="F755" s="13"/>
      <c r="G755" s="61"/>
      <c r="H755" s="6"/>
      <c r="I755" s="6"/>
      <c r="J755" s="2"/>
      <c r="K755" s="2"/>
      <c r="L755" s="2"/>
      <c r="M755" s="2"/>
      <c r="N755" s="2"/>
      <c r="O755" s="79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spans="1:28">
      <c r="A756" s="4"/>
      <c r="B756" s="8"/>
      <c r="C756" s="8"/>
      <c r="D756" s="7"/>
      <c r="E756" s="7"/>
      <c r="F756" s="13"/>
      <c r="G756" s="61"/>
      <c r="H756" s="6"/>
      <c r="I756" s="6"/>
      <c r="J756" s="2"/>
      <c r="K756" s="2"/>
      <c r="L756" s="2"/>
      <c r="M756" s="2"/>
      <c r="N756" s="2"/>
      <c r="O756" s="79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spans="1:28">
      <c r="A757" s="4"/>
      <c r="B757" s="8"/>
      <c r="C757" s="8"/>
      <c r="D757" s="7"/>
      <c r="E757" s="7"/>
      <c r="F757" s="13"/>
      <c r="G757" s="61"/>
      <c r="H757" s="6"/>
      <c r="I757" s="6"/>
      <c r="J757" s="2"/>
      <c r="K757" s="2"/>
      <c r="L757" s="2"/>
      <c r="M757" s="2"/>
      <c r="N757" s="2"/>
      <c r="O757" s="79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spans="1:28">
      <c r="A758" s="4"/>
      <c r="B758" s="8"/>
      <c r="C758" s="8"/>
      <c r="D758" s="7"/>
      <c r="E758" s="7"/>
      <c r="F758" s="13"/>
      <c r="G758" s="61"/>
      <c r="H758" s="6"/>
      <c r="I758" s="6"/>
      <c r="J758" s="2"/>
      <c r="K758" s="2"/>
      <c r="L758" s="2"/>
      <c r="M758" s="2"/>
      <c r="N758" s="2"/>
      <c r="O758" s="79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spans="1:28">
      <c r="A759" s="4"/>
      <c r="B759" s="8"/>
      <c r="C759" s="8"/>
      <c r="D759" s="7"/>
      <c r="E759" s="7"/>
      <c r="F759" s="13"/>
      <c r="G759" s="61"/>
      <c r="H759" s="6"/>
      <c r="I759" s="6"/>
      <c r="J759" s="2"/>
      <c r="K759" s="2"/>
      <c r="L759" s="2"/>
      <c r="M759" s="2"/>
      <c r="N759" s="2"/>
      <c r="O759" s="79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>
      <c r="A760" s="4"/>
      <c r="B760" s="8"/>
      <c r="C760" s="8"/>
      <c r="D760" s="7"/>
      <c r="E760" s="7"/>
      <c r="F760" s="13"/>
      <c r="G760" s="61"/>
      <c r="H760" s="6"/>
      <c r="I760" s="6"/>
      <c r="J760" s="2"/>
      <c r="K760" s="2"/>
      <c r="L760" s="2"/>
      <c r="M760" s="2"/>
      <c r="N760" s="2"/>
      <c r="O760" s="79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spans="1:28">
      <c r="A761" s="4"/>
      <c r="B761" s="8"/>
      <c r="C761" s="8"/>
      <c r="D761" s="7"/>
      <c r="E761" s="7"/>
      <c r="F761" s="13"/>
      <c r="G761" s="61"/>
      <c r="H761" s="6"/>
      <c r="I761" s="6"/>
      <c r="J761" s="2"/>
      <c r="K761" s="2"/>
      <c r="L761" s="2"/>
      <c r="M761" s="2"/>
      <c r="N761" s="2"/>
      <c r="O761" s="79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spans="1:28">
      <c r="A762" s="4"/>
      <c r="B762" s="8"/>
      <c r="C762" s="8"/>
      <c r="D762" s="7"/>
      <c r="E762" s="7"/>
      <c r="F762" s="13"/>
      <c r="G762" s="61"/>
      <c r="H762" s="6"/>
      <c r="I762" s="6"/>
      <c r="J762" s="2"/>
      <c r="K762" s="2"/>
      <c r="L762" s="2"/>
      <c r="M762" s="2"/>
      <c r="N762" s="2"/>
      <c r="O762" s="79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spans="1:28">
      <c r="A763" s="4"/>
      <c r="B763" s="8"/>
      <c r="C763" s="8"/>
      <c r="D763" s="7"/>
      <c r="E763" s="7"/>
      <c r="F763" s="13"/>
      <c r="G763" s="61"/>
      <c r="H763" s="6"/>
      <c r="I763" s="6"/>
      <c r="J763" s="2"/>
      <c r="K763" s="2"/>
      <c r="L763" s="2"/>
      <c r="M763" s="2"/>
      <c r="N763" s="2"/>
      <c r="O763" s="79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spans="1:28">
      <c r="A764" s="4"/>
      <c r="B764" s="8"/>
      <c r="C764" s="8"/>
      <c r="D764" s="7"/>
      <c r="E764" s="7"/>
      <c r="F764" s="13"/>
      <c r="G764" s="61"/>
      <c r="H764" s="6"/>
      <c r="I764" s="6"/>
      <c r="J764" s="2"/>
      <c r="K764" s="2"/>
      <c r="L764" s="2"/>
      <c r="M764" s="2"/>
      <c r="N764" s="2"/>
      <c r="O764" s="79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>
      <c r="A765" s="4"/>
      <c r="B765" s="8"/>
      <c r="C765" s="8"/>
      <c r="D765" s="7"/>
      <c r="E765" s="7"/>
      <c r="F765" s="13"/>
      <c r="G765" s="61"/>
      <c r="H765" s="6"/>
      <c r="I765" s="6"/>
      <c r="J765" s="2"/>
      <c r="K765" s="2"/>
      <c r="L765" s="2"/>
      <c r="M765" s="2"/>
      <c r="N765" s="2"/>
      <c r="O765" s="79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spans="1:28">
      <c r="A766" s="4"/>
      <c r="B766" s="8"/>
      <c r="C766" s="8"/>
      <c r="D766" s="7"/>
      <c r="E766" s="7"/>
      <c r="F766" s="13"/>
      <c r="G766" s="61"/>
      <c r="H766" s="6"/>
      <c r="I766" s="6"/>
      <c r="J766" s="2"/>
      <c r="K766" s="2"/>
      <c r="L766" s="2"/>
      <c r="M766" s="2"/>
      <c r="N766" s="2"/>
      <c r="O766" s="79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spans="1:28">
      <c r="A767" s="4"/>
      <c r="B767" s="8"/>
      <c r="C767" s="8"/>
      <c r="D767" s="7"/>
      <c r="E767" s="7"/>
      <c r="F767" s="13"/>
      <c r="G767" s="61"/>
      <c r="H767" s="6"/>
      <c r="I767" s="6"/>
      <c r="J767" s="2"/>
      <c r="K767" s="2"/>
      <c r="L767" s="2"/>
      <c r="M767" s="2"/>
      <c r="N767" s="2"/>
      <c r="O767" s="79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>
      <c r="A768" s="4"/>
      <c r="B768" s="8"/>
      <c r="C768" s="8"/>
      <c r="D768" s="7"/>
      <c r="E768" s="7"/>
      <c r="F768" s="13"/>
      <c r="G768" s="61"/>
      <c r="H768" s="6"/>
      <c r="I768" s="6"/>
      <c r="J768" s="2"/>
      <c r="K768" s="2"/>
      <c r="L768" s="2"/>
      <c r="M768" s="2"/>
      <c r="N768" s="2"/>
      <c r="O768" s="79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>
      <c r="A769" s="4"/>
      <c r="B769" s="8"/>
      <c r="C769" s="8"/>
      <c r="D769" s="7"/>
      <c r="E769" s="7"/>
      <c r="F769" s="13"/>
      <c r="G769" s="61"/>
      <c r="H769" s="6"/>
      <c r="I769" s="6"/>
      <c r="J769" s="2"/>
      <c r="K769" s="2"/>
      <c r="L769" s="2"/>
      <c r="M769" s="2"/>
      <c r="N769" s="2"/>
      <c r="O769" s="79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>
      <c r="A770" s="4"/>
      <c r="B770" s="8"/>
      <c r="C770" s="8"/>
      <c r="D770" s="7"/>
      <c r="E770" s="7"/>
      <c r="F770" s="13"/>
      <c r="G770" s="61"/>
      <c r="H770" s="6"/>
      <c r="I770" s="6"/>
      <c r="J770" s="2"/>
      <c r="K770" s="2"/>
      <c r="L770" s="2"/>
      <c r="M770" s="2"/>
      <c r="N770" s="2"/>
      <c r="O770" s="79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>
      <c r="A771" s="4"/>
      <c r="B771" s="8"/>
      <c r="C771" s="8"/>
      <c r="D771" s="7"/>
      <c r="E771" s="7"/>
      <c r="F771" s="13"/>
      <c r="G771" s="61"/>
      <c r="H771" s="6"/>
      <c r="I771" s="6"/>
      <c r="J771" s="2"/>
      <c r="K771" s="2"/>
      <c r="L771" s="2"/>
      <c r="M771" s="2"/>
      <c r="N771" s="2"/>
      <c r="O771" s="79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>
      <c r="A772" s="4"/>
      <c r="B772" s="8"/>
      <c r="C772" s="8"/>
      <c r="D772" s="7"/>
      <c r="E772" s="7"/>
      <c r="F772" s="13"/>
      <c r="G772" s="61"/>
      <c r="H772" s="6"/>
      <c r="I772" s="6"/>
      <c r="J772" s="2"/>
      <c r="K772" s="2"/>
      <c r="L772" s="2"/>
      <c r="M772" s="2"/>
      <c r="N772" s="2"/>
      <c r="O772" s="79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>
      <c r="A773" s="4"/>
      <c r="B773" s="8"/>
      <c r="C773" s="8"/>
      <c r="D773" s="7"/>
      <c r="E773" s="7"/>
      <c r="F773" s="13"/>
      <c r="G773" s="61"/>
      <c r="H773" s="6"/>
      <c r="I773" s="6"/>
      <c r="J773" s="2"/>
      <c r="K773" s="2"/>
      <c r="L773" s="2"/>
      <c r="M773" s="2"/>
      <c r="N773" s="2"/>
      <c r="O773" s="79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>
      <c r="A774" s="4"/>
      <c r="B774" s="8"/>
      <c r="C774" s="8"/>
      <c r="D774" s="7"/>
      <c r="E774" s="7"/>
      <c r="F774" s="13"/>
      <c r="G774" s="61"/>
      <c r="H774" s="6"/>
      <c r="I774" s="6"/>
      <c r="J774" s="2"/>
      <c r="K774" s="2"/>
      <c r="L774" s="2"/>
      <c r="M774" s="2"/>
      <c r="N774" s="2"/>
      <c r="O774" s="79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>
      <c r="A775" s="4"/>
      <c r="B775" s="8"/>
      <c r="C775" s="8"/>
      <c r="D775" s="7"/>
      <c r="E775" s="7"/>
      <c r="F775" s="13"/>
      <c r="G775" s="61"/>
      <c r="H775" s="6"/>
      <c r="I775" s="6"/>
      <c r="J775" s="2"/>
      <c r="K775" s="2"/>
      <c r="L775" s="2"/>
      <c r="M775" s="2"/>
      <c r="N775" s="2"/>
      <c r="O775" s="79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>
      <c r="A776" s="4"/>
      <c r="B776" s="8"/>
      <c r="C776" s="8"/>
      <c r="D776" s="7"/>
      <c r="E776" s="7"/>
      <c r="F776" s="13"/>
      <c r="G776" s="61"/>
      <c r="H776" s="6"/>
      <c r="I776" s="6"/>
      <c r="J776" s="2"/>
      <c r="K776" s="2"/>
      <c r="L776" s="2"/>
      <c r="M776" s="2"/>
      <c r="N776" s="2"/>
      <c r="O776" s="79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>
      <c r="A777" s="4"/>
      <c r="B777" s="8"/>
      <c r="C777" s="8"/>
      <c r="D777" s="7"/>
      <c r="E777" s="7"/>
      <c r="F777" s="13"/>
      <c r="G777" s="61"/>
      <c r="H777" s="6"/>
      <c r="I777" s="6"/>
      <c r="J777" s="2"/>
      <c r="K777" s="2"/>
      <c r="L777" s="2"/>
      <c r="M777" s="2"/>
      <c r="N777" s="2"/>
      <c r="O777" s="79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>
      <c r="A778" s="4"/>
      <c r="B778" s="8"/>
      <c r="C778" s="8"/>
      <c r="D778" s="7"/>
      <c r="E778" s="7"/>
      <c r="F778" s="13"/>
      <c r="G778" s="61"/>
      <c r="H778" s="6"/>
      <c r="I778" s="6"/>
      <c r="J778" s="2"/>
      <c r="K778" s="2"/>
      <c r="L778" s="2"/>
      <c r="M778" s="2"/>
      <c r="N778" s="2"/>
      <c r="O778" s="79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>
      <c r="A779" s="4"/>
      <c r="B779" s="8"/>
      <c r="C779" s="8"/>
      <c r="D779" s="7"/>
      <c r="E779" s="7"/>
      <c r="F779" s="13"/>
      <c r="G779" s="61"/>
      <c r="H779" s="6"/>
      <c r="I779" s="6"/>
      <c r="J779" s="2"/>
      <c r="K779" s="2"/>
      <c r="L779" s="2"/>
      <c r="M779" s="2"/>
      <c r="N779" s="2"/>
      <c r="O779" s="79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>
      <c r="A780" s="4"/>
      <c r="B780" s="8"/>
      <c r="C780" s="8"/>
      <c r="D780" s="7"/>
      <c r="E780" s="7"/>
      <c r="F780" s="13"/>
      <c r="G780" s="61"/>
      <c r="H780" s="6"/>
      <c r="I780" s="6"/>
      <c r="J780" s="2"/>
      <c r="K780" s="2"/>
      <c r="L780" s="2"/>
      <c r="M780" s="2"/>
      <c r="N780" s="2"/>
      <c r="O780" s="79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>
      <c r="A781" s="4"/>
      <c r="B781" s="8"/>
      <c r="C781" s="8"/>
      <c r="D781" s="7"/>
      <c r="E781" s="7"/>
      <c r="F781" s="13"/>
      <c r="G781" s="61"/>
      <c r="H781" s="6"/>
      <c r="I781" s="6"/>
      <c r="J781" s="2"/>
      <c r="K781" s="2"/>
      <c r="L781" s="2"/>
      <c r="M781" s="2"/>
      <c r="N781" s="2"/>
      <c r="O781" s="79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>
      <c r="A782" s="4"/>
      <c r="B782" s="8"/>
      <c r="C782" s="8"/>
      <c r="D782" s="7"/>
      <c r="E782" s="7"/>
      <c r="F782" s="13"/>
      <c r="G782" s="61"/>
      <c r="H782" s="6"/>
      <c r="I782" s="6"/>
      <c r="J782" s="2"/>
      <c r="K782" s="2"/>
      <c r="L782" s="2"/>
      <c r="M782" s="2"/>
      <c r="N782" s="2"/>
      <c r="O782" s="79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>
      <c r="A783" s="4"/>
      <c r="B783" s="8"/>
      <c r="C783" s="8"/>
      <c r="D783" s="7"/>
      <c r="E783" s="7"/>
      <c r="F783" s="13"/>
      <c r="G783" s="61"/>
      <c r="H783" s="6"/>
      <c r="I783" s="6"/>
      <c r="J783" s="2"/>
      <c r="K783" s="2"/>
      <c r="L783" s="2"/>
      <c r="M783" s="2"/>
      <c r="N783" s="2"/>
      <c r="O783" s="79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>
      <c r="A784" s="4"/>
      <c r="B784" s="8"/>
      <c r="C784" s="8"/>
      <c r="D784" s="7"/>
      <c r="E784" s="7"/>
      <c r="F784" s="13"/>
      <c r="G784" s="61"/>
      <c r="H784" s="6"/>
      <c r="I784" s="6"/>
      <c r="J784" s="2"/>
      <c r="K784" s="2"/>
      <c r="L784" s="2"/>
      <c r="M784" s="2"/>
      <c r="N784" s="2"/>
      <c r="O784" s="79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>
      <c r="A785" s="4"/>
      <c r="B785" s="8"/>
      <c r="C785" s="8"/>
      <c r="D785" s="7"/>
      <c r="E785" s="7"/>
      <c r="F785" s="13"/>
      <c r="G785" s="61"/>
      <c r="H785" s="6"/>
      <c r="I785" s="6"/>
      <c r="J785" s="2"/>
      <c r="K785" s="2"/>
      <c r="L785" s="2"/>
      <c r="M785" s="2"/>
      <c r="N785" s="2"/>
      <c r="O785" s="79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>
      <c r="A786" s="4"/>
      <c r="B786" s="8"/>
      <c r="C786" s="8"/>
      <c r="D786" s="7"/>
      <c r="E786" s="7"/>
      <c r="F786" s="13"/>
      <c r="G786" s="61"/>
      <c r="H786" s="6"/>
      <c r="I786" s="6"/>
      <c r="J786" s="2"/>
      <c r="K786" s="2"/>
      <c r="L786" s="2"/>
      <c r="M786" s="2"/>
      <c r="N786" s="2"/>
      <c r="O786" s="79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>
      <c r="A787" s="4"/>
      <c r="B787" s="8"/>
      <c r="C787" s="8"/>
      <c r="D787" s="7"/>
      <c r="E787" s="7"/>
      <c r="F787" s="13"/>
      <c r="G787" s="61"/>
      <c r="H787" s="6"/>
      <c r="I787" s="6"/>
      <c r="J787" s="2"/>
      <c r="K787" s="2"/>
      <c r="L787" s="2"/>
      <c r="M787" s="2"/>
      <c r="N787" s="2"/>
      <c r="O787" s="79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>
      <c r="A788" s="4"/>
      <c r="B788" s="8"/>
      <c r="C788" s="8"/>
      <c r="D788" s="7"/>
      <c r="E788" s="7"/>
      <c r="F788" s="13"/>
      <c r="G788" s="61"/>
      <c r="H788" s="6"/>
      <c r="I788" s="6"/>
      <c r="J788" s="2"/>
      <c r="K788" s="2"/>
      <c r="L788" s="2"/>
      <c r="M788" s="2"/>
      <c r="N788" s="2"/>
      <c r="O788" s="79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>
      <c r="A789" s="4"/>
      <c r="B789" s="8"/>
      <c r="C789" s="8"/>
      <c r="D789" s="7"/>
      <c r="E789" s="7"/>
      <c r="F789" s="13"/>
      <c r="G789" s="61"/>
      <c r="H789" s="6"/>
      <c r="I789" s="6"/>
      <c r="J789" s="2"/>
      <c r="K789" s="2"/>
      <c r="L789" s="2"/>
      <c r="M789" s="2"/>
      <c r="N789" s="2"/>
      <c r="O789" s="79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>
      <c r="A790" s="4"/>
      <c r="B790" s="8"/>
      <c r="C790" s="8"/>
      <c r="D790" s="7"/>
      <c r="E790" s="7"/>
      <c r="F790" s="13"/>
      <c r="G790" s="61"/>
      <c r="H790" s="6"/>
      <c r="I790" s="6"/>
      <c r="J790" s="2"/>
      <c r="K790" s="2"/>
      <c r="L790" s="2"/>
      <c r="M790" s="2"/>
      <c r="N790" s="2"/>
      <c r="O790" s="79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>
      <c r="A791" s="4"/>
      <c r="B791" s="8"/>
      <c r="C791" s="8"/>
      <c r="D791" s="7"/>
      <c r="E791" s="7"/>
      <c r="F791" s="13"/>
      <c r="G791" s="61"/>
      <c r="H791" s="6"/>
      <c r="I791" s="6"/>
      <c r="J791" s="2"/>
      <c r="K791" s="2"/>
      <c r="L791" s="2"/>
      <c r="M791" s="2"/>
      <c r="N791" s="2"/>
      <c r="O791" s="79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>
      <c r="A792" s="4"/>
      <c r="B792" s="8"/>
      <c r="C792" s="8"/>
      <c r="D792" s="7"/>
      <c r="E792" s="7"/>
      <c r="F792" s="13"/>
      <c r="G792" s="61"/>
      <c r="H792" s="6"/>
      <c r="I792" s="6"/>
      <c r="J792" s="2"/>
      <c r="K792" s="2"/>
      <c r="L792" s="2"/>
      <c r="M792" s="2"/>
      <c r="N792" s="2"/>
      <c r="O792" s="79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>
      <c r="A793" s="4"/>
      <c r="B793" s="8"/>
      <c r="C793" s="8"/>
      <c r="D793" s="7"/>
      <c r="E793" s="7"/>
      <c r="F793" s="13"/>
      <c r="G793" s="61"/>
      <c r="H793" s="6"/>
      <c r="I793" s="6"/>
      <c r="J793" s="2"/>
      <c r="K793" s="2"/>
      <c r="L793" s="2"/>
      <c r="M793" s="2"/>
      <c r="N793" s="2"/>
      <c r="O793" s="79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>
      <c r="A794" s="4"/>
      <c r="B794" s="8"/>
      <c r="C794" s="8"/>
      <c r="D794" s="7"/>
      <c r="E794" s="7"/>
      <c r="F794" s="13"/>
      <c r="G794" s="61"/>
      <c r="H794" s="6"/>
      <c r="I794" s="6"/>
      <c r="J794" s="2"/>
      <c r="K794" s="2"/>
      <c r="L794" s="2"/>
      <c r="M794" s="2"/>
      <c r="N794" s="2"/>
      <c r="O794" s="79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>
      <c r="A795" s="4"/>
      <c r="B795" s="8"/>
      <c r="C795" s="8"/>
      <c r="D795" s="7"/>
      <c r="E795" s="7"/>
      <c r="F795" s="13"/>
      <c r="G795" s="61"/>
      <c r="H795" s="6"/>
      <c r="I795" s="6"/>
      <c r="J795" s="2"/>
      <c r="K795" s="2"/>
      <c r="L795" s="2"/>
      <c r="M795" s="2"/>
      <c r="N795" s="2"/>
      <c r="O795" s="79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>
      <c r="A796" s="4"/>
      <c r="B796" s="8"/>
      <c r="C796" s="8"/>
      <c r="D796" s="7"/>
      <c r="E796" s="7"/>
      <c r="F796" s="13"/>
      <c r="G796" s="61"/>
      <c r="H796" s="6"/>
      <c r="I796" s="6"/>
      <c r="J796" s="2"/>
      <c r="K796" s="2"/>
      <c r="L796" s="2"/>
      <c r="M796" s="2"/>
      <c r="N796" s="2"/>
      <c r="O796" s="79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>
      <c r="A797" s="4"/>
      <c r="B797" s="8"/>
      <c r="C797" s="8"/>
      <c r="D797" s="7"/>
      <c r="E797" s="7"/>
      <c r="F797" s="13"/>
      <c r="G797" s="61"/>
      <c r="H797" s="6"/>
      <c r="I797" s="6"/>
      <c r="J797" s="2"/>
      <c r="K797" s="2"/>
      <c r="L797" s="2"/>
      <c r="M797" s="2"/>
      <c r="N797" s="2"/>
      <c r="O797" s="79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>
      <c r="A798" s="4"/>
      <c r="B798" s="8"/>
      <c r="C798" s="8"/>
      <c r="D798" s="7"/>
      <c r="E798" s="7"/>
      <c r="F798" s="13"/>
      <c r="G798" s="61"/>
      <c r="H798" s="6"/>
      <c r="I798" s="6"/>
      <c r="J798" s="2"/>
      <c r="K798" s="2"/>
      <c r="L798" s="2"/>
      <c r="M798" s="2"/>
      <c r="N798" s="2"/>
      <c r="O798" s="79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>
      <c r="A799" s="4"/>
      <c r="B799" s="8"/>
      <c r="C799" s="8"/>
      <c r="D799" s="7"/>
      <c r="E799" s="7"/>
      <c r="F799" s="13"/>
      <c r="G799" s="61"/>
      <c r="H799" s="6"/>
      <c r="I799" s="6"/>
      <c r="J799" s="2"/>
      <c r="K799" s="2"/>
      <c r="L799" s="2"/>
      <c r="M799" s="2"/>
      <c r="N799" s="2"/>
      <c r="O799" s="79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>
      <c r="A800" s="4"/>
      <c r="B800" s="8"/>
      <c r="C800" s="8"/>
      <c r="D800" s="7"/>
      <c r="E800" s="7"/>
      <c r="F800" s="13"/>
      <c r="G800" s="61"/>
      <c r="H800" s="6"/>
      <c r="I800" s="6"/>
      <c r="J800" s="2"/>
      <c r="K800" s="2"/>
      <c r="L800" s="2"/>
      <c r="M800" s="2"/>
      <c r="N800" s="2"/>
      <c r="O800" s="79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>
      <c r="A801" s="4"/>
      <c r="B801" s="8"/>
      <c r="C801" s="8"/>
      <c r="D801" s="7"/>
      <c r="E801" s="7"/>
      <c r="F801" s="13"/>
      <c r="G801" s="61"/>
      <c r="H801" s="6"/>
      <c r="I801" s="6"/>
      <c r="J801" s="2"/>
      <c r="K801" s="2"/>
      <c r="L801" s="2"/>
      <c r="M801" s="2"/>
      <c r="N801" s="2"/>
      <c r="O801" s="79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>
      <c r="A802" s="4"/>
      <c r="B802" s="8"/>
      <c r="C802" s="8"/>
      <c r="D802" s="7"/>
      <c r="E802" s="7"/>
      <c r="F802" s="13"/>
      <c r="G802" s="61"/>
      <c r="H802" s="6"/>
      <c r="I802" s="6"/>
      <c r="J802" s="2"/>
      <c r="K802" s="2"/>
      <c r="L802" s="2"/>
      <c r="M802" s="2"/>
      <c r="N802" s="2"/>
      <c r="O802" s="79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>
      <c r="A803" s="4"/>
      <c r="B803" s="8"/>
      <c r="C803" s="8"/>
      <c r="D803" s="7"/>
      <c r="E803" s="7"/>
      <c r="F803" s="13"/>
      <c r="G803" s="61"/>
      <c r="H803" s="6"/>
      <c r="I803" s="6"/>
      <c r="J803" s="2"/>
      <c r="K803" s="2"/>
      <c r="L803" s="2"/>
      <c r="M803" s="2"/>
      <c r="N803" s="2"/>
      <c r="O803" s="79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>
      <c r="A804" s="4"/>
      <c r="B804" s="8"/>
      <c r="C804" s="8"/>
      <c r="D804" s="7"/>
      <c r="E804" s="7"/>
      <c r="F804" s="13"/>
      <c r="G804" s="61"/>
      <c r="H804" s="6"/>
      <c r="I804" s="6"/>
      <c r="J804" s="2"/>
      <c r="K804" s="2"/>
      <c r="L804" s="2"/>
      <c r="M804" s="2"/>
      <c r="N804" s="2"/>
      <c r="O804" s="79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>
      <c r="A805" s="4"/>
      <c r="B805" s="8"/>
      <c r="C805" s="8"/>
      <c r="D805" s="7"/>
      <c r="E805" s="7"/>
      <c r="F805" s="13"/>
      <c r="G805" s="61"/>
      <c r="H805" s="6"/>
      <c r="I805" s="6"/>
      <c r="J805" s="2"/>
      <c r="K805" s="2"/>
      <c r="L805" s="2"/>
      <c r="M805" s="2"/>
      <c r="N805" s="2"/>
      <c r="O805" s="79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>
      <c r="A806" s="4"/>
      <c r="B806" s="8"/>
      <c r="C806" s="8"/>
      <c r="D806" s="7"/>
      <c r="E806" s="7"/>
      <c r="F806" s="13"/>
      <c r="G806" s="61"/>
      <c r="H806" s="6"/>
      <c r="I806" s="6"/>
      <c r="J806" s="2"/>
      <c r="K806" s="2"/>
      <c r="L806" s="2"/>
      <c r="M806" s="2"/>
      <c r="N806" s="2"/>
      <c r="O806" s="79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>
      <c r="A807" s="4"/>
      <c r="B807" s="8"/>
      <c r="C807" s="8"/>
      <c r="D807" s="7"/>
      <c r="E807" s="7"/>
      <c r="F807" s="13"/>
      <c r="G807" s="61"/>
      <c r="H807" s="6"/>
      <c r="I807" s="6"/>
      <c r="J807" s="2"/>
      <c r="K807" s="2"/>
      <c r="L807" s="2"/>
      <c r="M807" s="2"/>
      <c r="N807" s="2"/>
      <c r="O807" s="79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>
      <c r="A808" s="4"/>
      <c r="B808" s="8"/>
      <c r="C808" s="8"/>
      <c r="D808" s="7"/>
      <c r="E808" s="7"/>
      <c r="F808" s="13"/>
      <c r="G808" s="61"/>
      <c r="H808" s="6"/>
      <c r="I808" s="6"/>
      <c r="J808" s="2"/>
      <c r="K808" s="2"/>
      <c r="L808" s="2"/>
      <c r="M808" s="2"/>
      <c r="N808" s="2"/>
      <c r="O808" s="79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>
      <c r="A809" s="4"/>
      <c r="B809" s="8"/>
      <c r="C809" s="8"/>
      <c r="D809" s="7"/>
      <c r="E809" s="7"/>
      <c r="F809" s="13"/>
      <c r="G809" s="61"/>
      <c r="H809" s="6"/>
      <c r="I809" s="6"/>
      <c r="J809" s="2"/>
      <c r="K809" s="2"/>
      <c r="L809" s="2"/>
      <c r="M809" s="2"/>
      <c r="N809" s="2"/>
      <c r="O809" s="79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>
      <c r="A810" s="4"/>
      <c r="B810" s="8"/>
      <c r="C810" s="8"/>
      <c r="D810" s="7"/>
      <c r="E810" s="7"/>
      <c r="F810" s="13"/>
      <c r="G810" s="61"/>
      <c r="H810" s="6"/>
      <c r="I810" s="6"/>
      <c r="J810" s="2"/>
      <c r="K810" s="2"/>
      <c r="L810" s="2"/>
      <c r="M810" s="2"/>
      <c r="N810" s="2"/>
      <c r="O810" s="79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>
      <c r="A811" s="4"/>
      <c r="B811" s="8"/>
      <c r="C811" s="8"/>
      <c r="D811" s="7"/>
      <c r="E811" s="7"/>
      <c r="F811" s="13"/>
      <c r="G811" s="61"/>
      <c r="H811" s="6"/>
      <c r="I811" s="6"/>
      <c r="J811" s="2"/>
      <c r="K811" s="2"/>
      <c r="L811" s="2"/>
      <c r="M811" s="2"/>
      <c r="N811" s="2"/>
      <c r="O811" s="79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>
      <c r="A812" s="4"/>
      <c r="B812" s="8"/>
      <c r="C812" s="8"/>
      <c r="D812" s="7"/>
      <c r="E812" s="7"/>
      <c r="F812" s="13"/>
      <c r="G812" s="61"/>
      <c r="H812" s="6"/>
      <c r="I812" s="6"/>
      <c r="J812" s="2"/>
      <c r="K812" s="2"/>
      <c r="L812" s="2"/>
      <c r="M812" s="2"/>
      <c r="N812" s="2"/>
      <c r="O812" s="79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>
      <c r="A813" s="4"/>
      <c r="B813" s="8"/>
      <c r="C813" s="8"/>
      <c r="D813" s="7"/>
      <c r="E813" s="7"/>
      <c r="F813" s="13"/>
      <c r="G813" s="61"/>
      <c r="H813" s="6"/>
      <c r="I813" s="6"/>
      <c r="J813" s="2"/>
      <c r="K813" s="2"/>
      <c r="L813" s="2"/>
      <c r="M813" s="2"/>
      <c r="N813" s="2"/>
      <c r="O813" s="79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>
      <c r="A814" s="4"/>
      <c r="B814" s="8"/>
      <c r="C814" s="8"/>
      <c r="D814" s="7"/>
      <c r="E814" s="7"/>
      <c r="F814" s="13"/>
      <c r="G814" s="61"/>
      <c r="H814" s="6"/>
      <c r="I814" s="6"/>
      <c r="J814" s="2"/>
      <c r="K814" s="2"/>
      <c r="L814" s="2"/>
      <c r="M814" s="2"/>
      <c r="N814" s="2"/>
      <c r="O814" s="79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>
      <c r="A815" s="4"/>
      <c r="B815" s="8"/>
      <c r="C815" s="8"/>
      <c r="D815" s="7"/>
      <c r="E815" s="7"/>
      <c r="F815" s="13"/>
      <c r="G815" s="61"/>
      <c r="H815" s="6"/>
      <c r="I815" s="6"/>
      <c r="J815" s="2"/>
      <c r="K815" s="2"/>
      <c r="L815" s="2"/>
      <c r="M815" s="2"/>
      <c r="N815" s="2"/>
      <c r="O815" s="79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>
      <c r="A816" s="4"/>
      <c r="B816" s="8"/>
      <c r="C816" s="8"/>
      <c r="D816" s="7"/>
      <c r="E816" s="7"/>
      <c r="F816" s="13"/>
      <c r="G816" s="61"/>
      <c r="H816" s="6"/>
      <c r="I816" s="6"/>
      <c r="J816" s="2"/>
      <c r="K816" s="2"/>
      <c r="L816" s="2"/>
      <c r="M816" s="2"/>
      <c r="N816" s="2"/>
      <c r="O816" s="79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>
      <c r="A817" s="4"/>
      <c r="B817" s="8"/>
      <c r="C817" s="8"/>
      <c r="D817" s="7"/>
      <c r="E817" s="7"/>
      <c r="F817" s="13"/>
      <c r="G817" s="61"/>
      <c r="H817" s="6"/>
      <c r="I817" s="6"/>
      <c r="J817" s="2"/>
      <c r="K817" s="2"/>
      <c r="L817" s="2"/>
      <c r="M817" s="2"/>
      <c r="N817" s="2"/>
      <c r="O817" s="79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>
      <c r="A818" s="4"/>
      <c r="B818" s="8"/>
      <c r="C818" s="8"/>
      <c r="D818" s="7"/>
      <c r="E818" s="7"/>
      <c r="F818" s="13"/>
      <c r="G818" s="61"/>
      <c r="H818" s="6"/>
      <c r="I818" s="6"/>
      <c r="J818" s="2"/>
      <c r="K818" s="2"/>
      <c r="L818" s="2"/>
      <c r="M818" s="2"/>
      <c r="N818" s="2"/>
      <c r="O818" s="79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>
      <c r="A819" s="4"/>
      <c r="B819" s="8"/>
      <c r="C819" s="8"/>
      <c r="D819" s="7"/>
      <c r="E819" s="7"/>
      <c r="F819" s="13"/>
      <c r="G819" s="61"/>
      <c r="H819" s="6"/>
      <c r="I819" s="6"/>
      <c r="J819" s="2"/>
      <c r="K819" s="2"/>
      <c r="L819" s="2"/>
      <c r="M819" s="2"/>
      <c r="N819" s="2"/>
      <c r="O819" s="79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>
      <c r="A820" s="4"/>
      <c r="B820" s="8"/>
      <c r="C820" s="8"/>
      <c r="D820" s="7"/>
      <c r="E820" s="7"/>
      <c r="F820" s="13"/>
      <c r="G820" s="61"/>
      <c r="H820" s="6"/>
      <c r="I820" s="6"/>
      <c r="J820" s="2"/>
      <c r="K820" s="2"/>
      <c r="L820" s="2"/>
      <c r="M820" s="2"/>
      <c r="N820" s="2"/>
      <c r="O820" s="79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>
      <c r="A821" s="4"/>
      <c r="B821" s="8"/>
      <c r="C821" s="8"/>
      <c r="D821" s="7"/>
      <c r="E821" s="7"/>
      <c r="F821" s="13"/>
      <c r="G821" s="61"/>
      <c r="H821" s="6"/>
      <c r="I821" s="6"/>
      <c r="J821" s="2"/>
      <c r="K821" s="2"/>
      <c r="L821" s="2"/>
      <c r="M821" s="2"/>
      <c r="N821" s="2"/>
      <c r="O821" s="79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>
      <c r="A822" s="4"/>
      <c r="B822" s="8"/>
      <c r="C822" s="8"/>
      <c r="D822" s="7"/>
      <c r="E822" s="7"/>
      <c r="F822" s="13"/>
      <c r="G822" s="61"/>
      <c r="H822" s="6"/>
      <c r="I822" s="6"/>
      <c r="J822" s="2"/>
      <c r="K822" s="2"/>
      <c r="L822" s="2"/>
      <c r="M822" s="2"/>
      <c r="N822" s="2"/>
      <c r="O822" s="79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>
      <c r="A823" s="4"/>
      <c r="B823" s="8"/>
      <c r="C823" s="8"/>
      <c r="D823" s="7"/>
      <c r="E823" s="7"/>
      <c r="F823" s="13"/>
      <c r="G823" s="61"/>
      <c r="H823" s="6"/>
      <c r="I823" s="6"/>
      <c r="J823" s="2"/>
      <c r="K823" s="2"/>
      <c r="L823" s="2"/>
      <c r="M823" s="2"/>
      <c r="N823" s="2"/>
      <c r="O823" s="79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>
      <c r="A824" s="4"/>
      <c r="B824" s="8"/>
      <c r="C824" s="8"/>
      <c r="D824" s="7"/>
      <c r="E824" s="7"/>
      <c r="F824" s="13"/>
      <c r="G824" s="61"/>
      <c r="H824" s="6"/>
      <c r="I824" s="6"/>
      <c r="J824" s="2"/>
      <c r="K824" s="2"/>
      <c r="L824" s="2"/>
      <c r="M824" s="2"/>
      <c r="N824" s="2"/>
      <c r="O824" s="79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>
      <c r="A825" s="4"/>
      <c r="B825" s="8"/>
      <c r="C825" s="8"/>
      <c r="D825" s="7"/>
      <c r="E825" s="7"/>
      <c r="F825" s="13"/>
      <c r="G825" s="61"/>
      <c r="H825" s="6"/>
      <c r="I825" s="6"/>
      <c r="J825" s="2"/>
      <c r="K825" s="2"/>
      <c r="L825" s="2"/>
      <c r="M825" s="2"/>
      <c r="N825" s="2"/>
      <c r="O825" s="79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>
      <c r="A826" s="4"/>
      <c r="B826" s="8"/>
      <c r="C826" s="8"/>
      <c r="D826" s="7"/>
      <c r="E826" s="7"/>
      <c r="F826" s="13"/>
      <c r="G826" s="61"/>
      <c r="H826" s="6"/>
      <c r="I826" s="6"/>
      <c r="J826" s="2"/>
      <c r="K826" s="2"/>
      <c r="L826" s="2"/>
      <c r="M826" s="2"/>
      <c r="N826" s="2"/>
      <c r="O826" s="79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>
      <c r="A827" s="4"/>
      <c r="B827" s="8"/>
      <c r="C827" s="8"/>
      <c r="D827" s="7"/>
      <c r="E827" s="7"/>
      <c r="F827" s="13"/>
      <c r="G827" s="61"/>
      <c r="H827" s="6"/>
      <c r="I827" s="6"/>
      <c r="J827" s="2"/>
      <c r="K827" s="2"/>
      <c r="L827" s="2"/>
      <c r="M827" s="2"/>
      <c r="N827" s="2"/>
      <c r="O827" s="79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>
      <c r="A828" s="4"/>
      <c r="B828" s="8"/>
      <c r="C828" s="8"/>
      <c r="D828" s="7"/>
      <c r="E828" s="7"/>
      <c r="F828" s="13"/>
      <c r="G828" s="61"/>
      <c r="H828" s="6"/>
      <c r="I828" s="6"/>
      <c r="J828" s="2"/>
      <c r="K828" s="2"/>
      <c r="L828" s="2"/>
      <c r="M828" s="2"/>
      <c r="N828" s="2"/>
      <c r="O828" s="79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>
      <c r="A829" s="4"/>
      <c r="B829" s="8"/>
      <c r="C829" s="8"/>
      <c r="D829" s="7"/>
      <c r="E829" s="7"/>
      <c r="F829" s="13"/>
      <c r="G829" s="61"/>
      <c r="H829" s="6"/>
      <c r="I829" s="6"/>
      <c r="J829" s="2"/>
      <c r="K829" s="2"/>
      <c r="L829" s="2"/>
      <c r="M829" s="2"/>
      <c r="N829" s="2"/>
      <c r="O829" s="79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>
      <c r="A830" s="4"/>
      <c r="B830" s="8"/>
      <c r="C830" s="8"/>
      <c r="D830" s="7"/>
      <c r="E830" s="7"/>
      <c r="F830" s="13"/>
      <c r="G830" s="61"/>
      <c r="H830" s="6"/>
      <c r="I830" s="6"/>
      <c r="J830" s="2"/>
      <c r="K830" s="2"/>
      <c r="L830" s="2"/>
      <c r="M830" s="2"/>
      <c r="N830" s="2"/>
      <c r="O830" s="79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>
      <c r="A831" s="4"/>
      <c r="B831" s="8"/>
      <c r="C831" s="8"/>
      <c r="D831" s="7"/>
      <c r="E831" s="7"/>
      <c r="F831" s="13"/>
      <c r="G831" s="61"/>
      <c r="H831" s="6"/>
      <c r="I831" s="6"/>
      <c r="J831" s="2"/>
      <c r="K831" s="2"/>
      <c r="L831" s="2"/>
      <c r="M831" s="2"/>
      <c r="N831" s="2"/>
      <c r="O831" s="79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>
      <c r="A832" s="4"/>
      <c r="B832" s="8"/>
      <c r="C832" s="8"/>
      <c r="D832" s="7"/>
      <c r="E832" s="7"/>
      <c r="F832" s="13"/>
      <c r="G832" s="61"/>
      <c r="H832" s="6"/>
      <c r="I832" s="6"/>
      <c r="J832" s="2"/>
      <c r="K832" s="2"/>
      <c r="L832" s="2"/>
      <c r="M832" s="2"/>
      <c r="N832" s="2"/>
      <c r="O832" s="79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>
      <c r="A833" s="4"/>
      <c r="B833" s="8"/>
      <c r="C833" s="8"/>
      <c r="D833" s="7"/>
      <c r="E833" s="7"/>
      <c r="F833" s="13"/>
      <c r="G833" s="61"/>
      <c r="H833" s="6"/>
      <c r="I833" s="6"/>
      <c r="J833" s="2"/>
      <c r="K833" s="2"/>
      <c r="L833" s="2"/>
      <c r="M833" s="2"/>
      <c r="N833" s="2"/>
      <c r="O833" s="79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>
      <c r="A834" s="4"/>
      <c r="B834" s="8"/>
      <c r="C834" s="8"/>
      <c r="D834" s="7"/>
      <c r="E834" s="7"/>
      <c r="F834" s="13"/>
      <c r="G834" s="61"/>
      <c r="H834" s="6"/>
      <c r="I834" s="6"/>
      <c r="J834" s="2"/>
      <c r="K834" s="2"/>
      <c r="L834" s="2"/>
      <c r="M834" s="2"/>
      <c r="N834" s="2"/>
      <c r="O834" s="79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>
      <c r="A835" s="4"/>
      <c r="B835" s="8"/>
      <c r="C835" s="8"/>
      <c r="D835" s="7"/>
      <c r="E835" s="7"/>
      <c r="F835" s="13"/>
      <c r="G835" s="61"/>
      <c r="H835" s="6"/>
      <c r="I835" s="6"/>
      <c r="J835" s="2"/>
      <c r="K835" s="2"/>
      <c r="L835" s="2"/>
      <c r="M835" s="2"/>
      <c r="N835" s="2"/>
      <c r="O835" s="79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>
      <c r="A836" s="4"/>
      <c r="B836" s="8"/>
      <c r="C836" s="8"/>
      <c r="D836" s="7"/>
      <c r="E836" s="7"/>
      <c r="F836" s="13"/>
      <c r="G836" s="61"/>
      <c r="H836" s="6"/>
      <c r="I836" s="6"/>
      <c r="J836" s="2"/>
      <c r="K836" s="2"/>
      <c r="L836" s="2"/>
      <c r="M836" s="2"/>
      <c r="N836" s="2"/>
      <c r="O836" s="79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>
      <c r="A837" s="4"/>
      <c r="B837" s="8"/>
      <c r="C837" s="8"/>
      <c r="D837" s="7"/>
      <c r="E837" s="7"/>
      <c r="F837" s="13"/>
      <c r="G837" s="61"/>
      <c r="H837" s="6"/>
      <c r="I837" s="6"/>
      <c r="J837" s="2"/>
      <c r="K837" s="2"/>
      <c r="L837" s="2"/>
      <c r="M837" s="2"/>
      <c r="N837" s="2"/>
      <c r="O837" s="79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>
      <c r="A838" s="4"/>
      <c r="B838" s="8"/>
      <c r="C838" s="8"/>
      <c r="D838" s="7"/>
      <c r="E838" s="7"/>
      <c r="F838" s="13"/>
      <c r="G838" s="61"/>
      <c r="H838" s="6"/>
      <c r="I838" s="6"/>
      <c r="J838" s="2"/>
      <c r="K838" s="2"/>
      <c r="L838" s="2"/>
      <c r="M838" s="2"/>
      <c r="N838" s="2"/>
      <c r="O838" s="79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>
      <c r="A839" s="4"/>
      <c r="B839" s="8"/>
      <c r="C839" s="8"/>
      <c r="D839" s="7"/>
      <c r="E839" s="7"/>
      <c r="F839" s="13"/>
      <c r="G839" s="61"/>
      <c r="H839" s="6"/>
      <c r="I839" s="6"/>
      <c r="J839" s="2"/>
      <c r="K839" s="2"/>
      <c r="L839" s="2"/>
      <c r="M839" s="2"/>
      <c r="N839" s="2"/>
      <c r="O839" s="79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>
      <c r="A840" s="4"/>
      <c r="B840" s="8"/>
      <c r="C840" s="8"/>
      <c r="D840" s="7"/>
      <c r="E840" s="7"/>
      <c r="F840" s="13"/>
      <c r="G840" s="61"/>
      <c r="H840" s="6"/>
      <c r="I840" s="6"/>
      <c r="J840" s="2"/>
      <c r="K840" s="2"/>
      <c r="L840" s="2"/>
      <c r="M840" s="2"/>
      <c r="N840" s="2"/>
      <c r="O840" s="79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>
      <c r="A841" s="4"/>
      <c r="B841" s="8"/>
      <c r="C841" s="8"/>
      <c r="D841" s="7"/>
      <c r="E841" s="7"/>
      <c r="F841" s="13"/>
      <c r="G841" s="61"/>
      <c r="H841" s="6"/>
      <c r="I841" s="6"/>
      <c r="J841" s="2"/>
      <c r="K841" s="2"/>
      <c r="L841" s="2"/>
      <c r="M841" s="2"/>
      <c r="N841" s="2"/>
      <c r="O841" s="79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>
      <c r="A842" s="4"/>
      <c r="B842" s="8"/>
      <c r="C842" s="8"/>
      <c r="D842" s="7"/>
      <c r="E842" s="7"/>
      <c r="F842" s="13"/>
      <c r="G842" s="61"/>
      <c r="H842" s="6"/>
      <c r="I842" s="6"/>
      <c r="J842" s="2"/>
      <c r="K842" s="2"/>
      <c r="L842" s="2"/>
      <c r="M842" s="2"/>
      <c r="N842" s="2"/>
      <c r="O842" s="79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</sheetData>
  <autoFilter ref="A4:AB679" xr:uid="{00000000-0001-0000-0000-000000000000}">
    <sortState xmlns:xlrd2="http://schemas.microsoft.com/office/spreadsheetml/2017/richdata2" ref="A5:AB671">
      <sortCondition ref="A4:A67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zoomScale="90" zoomScaleNormal="90" workbookViewId="0">
      <selection activeCell="Q4" sqref="Q4"/>
    </sheetView>
  </sheetViews>
  <sheetFormatPr defaultRowHeight="12.75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>
      <c r="Q1" s="9" t="s">
        <v>2316</v>
      </c>
      <c r="R1" t="s">
        <v>2317</v>
      </c>
      <c r="S1" t="s">
        <v>2318</v>
      </c>
      <c r="T1" t="s">
        <v>2319</v>
      </c>
    </row>
    <row r="2" spans="1:20">
      <c r="Q2" s="18" t="s">
        <v>559</v>
      </c>
      <c r="R2" s="19">
        <v>12502</v>
      </c>
      <c r="S2" s="19">
        <v>24000</v>
      </c>
      <c r="T2" s="19">
        <v>8482.7999999999993</v>
      </c>
    </row>
    <row r="3" spans="1:20">
      <c r="A3" s="9" t="s">
        <v>2316</v>
      </c>
      <c r="B3" s="15" t="s">
        <v>2318</v>
      </c>
      <c r="C3" s="15" t="s">
        <v>2317</v>
      </c>
      <c r="D3" t="s">
        <v>2320</v>
      </c>
      <c r="Q3" s="18" t="s">
        <v>982</v>
      </c>
      <c r="R3" s="19">
        <v>12634</v>
      </c>
      <c r="S3" s="19">
        <v>24000</v>
      </c>
      <c r="T3" s="19">
        <v>8479</v>
      </c>
    </row>
    <row r="4" spans="1:20">
      <c r="A4" s="10" t="s">
        <v>1827</v>
      </c>
      <c r="B4" s="15">
        <v>89999.999999999985</v>
      </c>
      <c r="C4" s="15">
        <v>88359</v>
      </c>
      <c r="D4">
        <v>37</v>
      </c>
      <c r="Q4" s="18" t="s">
        <v>1361</v>
      </c>
      <c r="R4" s="19">
        <v>8451</v>
      </c>
      <c r="S4" s="19">
        <v>24000</v>
      </c>
      <c r="T4" s="19">
        <v>6570</v>
      </c>
    </row>
    <row r="5" spans="1:20">
      <c r="A5" s="11" t="s">
        <v>47</v>
      </c>
      <c r="B5" s="15">
        <v>89999.999999999985</v>
      </c>
      <c r="C5" s="15">
        <v>88359</v>
      </c>
      <c r="D5">
        <v>37</v>
      </c>
      <c r="Q5" s="18" t="s">
        <v>1827</v>
      </c>
      <c r="R5" s="19">
        <v>21413</v>
      </c>
      <c r="S5" s="19">
        <v>24000</v>
      </c>
      <c r="T5" s="19">
        <v>17022</v>
      </c>
    </row>
    <row r="6" spans="1:20">
      <c r="A6" s="12">
        <v>46228</v>
      </c>
      <c r="B6" s="15">
        <v>15000</v>
      </c>
      <c r="C6" s="15">
        <v>11074</v>
      </c>
      <c r="D6">
        <v>7</v>
      </c>
      <c r="Q6" s="18" t="s">
        <v>2321</v>
      </c>
      <c r="R6" s="19">
        <v>55000</v>
      </c>
      <c r="S6" s="19">
        <v>96000</v>
      </c>
      <c r="T6" s="19">
        <v>40553.800000000003</v>
      </c>
    </row>
    <row r="7" spans="1:20">
      <c r="A7" s="12">
        <v>46227</v>
      </c>
      <c r="B7" s="15">
        <v>15000</v>
      </c>
      <c r="C7" s="15">
        <v>16640</v>
      </c>
      <c r="D7">
        <v>7</v>
      </c>
    </row>
    <row r="8" spans="1:20">
      <c r="A8" s="12">
        <v>46226</v>
      </c>
      <c r="B8" s="15">
        <v>15000</v>
      </c>
      <c r="C8" s="15">
        <v>14376</v>
      </c>
      <c r="D8">
        <v>6</v>
      </c>
    </row>
    <row r="9" spans="1:20">
      <c r="A9" s="12">
        <v>46225</v>
      </c>
      <c r="B9" s="15">
        <v>15000</v>
      </c>
      <c r="C9" s="15">
        <v>17851</v>
      </c>
      <c r="D9">
        <v>6</v>
      </c>
    </row>
    <row r="10" spans="1:20">
      <c r="A10" s="12">
        <v>46224</v>
      </c>
      <c r="B10" s="15">
        <v>15000</v>
      </c>
      <c r="C10" s="15">
        <v>14762</v>
      </c>
      <c r="D10">
        <v>5</v>
      </c>
    </row>
    <row r="11" spans="1:20">
      <c r="A11" s="12">
        <v>46223</v>
      </c>
      <c r="B11" s="15">
        <v>15000</v>
      </c>
      <c r="C11" s="15">
        <v>13656</v>
      </c>
      <c r="D11">
        <v>6</v>
      </c>
    </row>
    <row r="12" spans="1:20" hidden="1">
      <c r="A12" s="10" t="s">
        <v>2321</v>
      </c>
      <c r="B12" s="15">
        <v>89999.999999999985</v>
      </c>
      <c r="C12" s="15">
        <v>88359</v>
      </c>
      <c r="D12">
        <v>37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>
      <c r="A3" s="9" t="s">
        <v>2316</v>
      </c>
      <c r="B3" t="s">
        <v>2318</v>
      </c>
      <c r="C3" t="s">
        <v>2322</v>
      </c>
      <c r="O3" s="9" t="s">
        <v>2316</v>
      </c>
      <c r="P3" t="s">
        <v>2318</v>
      </c>
      <c r="Q3" t="s">
        <v>2322</v>
      </c>
    </row>
    <row r="4" spans="1:17">
      <c r="A4" s="10" t="s">
        <v>62</v>
      </c>
      <c r="B4" s="54">
        <v>12</v>
      </c>
      <c r="C4" s="54">
        <v>13.446791486291486</v>
      </c>
      <c r="O4" s="10" t="s">
        <v>35</v>
      </c>
      <c r="P4">
        <v>12</v>
      </c>
      <c r="Q4">
        <v>8.4977777777777774</v>
      </c>
    </row>
    <row r="5" spans="1:17">
      <c r="A5" s="57">
        <v>46167</v>
      </c>
      <c r="B5" s="54">
        <v>2</v>
      </c>
      <c r="C5" s="54">
        <v>3.2472222222222222</v>
      </c>
      <c r="O5" s="10" t="s">
        <v>57</v>
      </c>
      <c r="P5">
        <v>12</v>
      </c>
      <c r="Q5">
        <v>6.1769166666666671</v>
      </c>
    </row>
    <row r="6" spans="1:17">
      <c r="A6" s="57">
        <v>46168</v>
      </c>
      <c r="B6" s="54">
        <v>2</v>
      </c>
      <c r="C6" s="54">
        <v>2.375</v>
      </c>
      <c r="O6" s="10" t="s">
        <v>58</v>
      </c>
      <c r="P6">
        <v>12</v>
      </c>
      <c r="Q6">
        <v>7.8098349673202616</v>
      </c>
    </row>
    <row r="7" spans="1:17">
      <c r="A7" s="57">
        <v>46169</v>
      </c>
      <c r="B7" s="54">
        <v>2</v>
      </c>
      <c r="C7" s="54">
        <v>1.83125</v>
      </c>
      <c r="O7" s="10" t="s">
        <v>62</v>
      </c>
      <c r="P7">
        <v>12</v>
      </c>
      <c r="Q7">
        <v>13.446791486291486</v>
      </c>
    </row>
    <row r="8" spans="1:17">
      <c r="A8" s="57">
        <v>46170</v>
      </c>
      <c r="B8" s="54">
        <v>2</v>
      </c>
      <c r="C8" s="54">
        <v>2.2142500000000003</v>
      </c>
      <c r="O8" s="10" t="s">
        <v>2323</v>
      </c>
    </row>
    <row r="9" spans="1:17">
      <c r="A9" s="57">
        <v>46171</v>
      </c>
      <c r="B9" s="54">
        <v>2</v>
      </c>
      <c r="C9" s="54">
        <v>2.0195454545454545</v>
      </c>
      <c r="O9" s="10" t="s">
        <v>2321</v>
      </c>
      <c r="P9">
        <v>48</v>
      </c>
      <c r="Q9">
        <v>35.931320898056192</v>
      </c>
    </row>
    <row r="10" spans="1:17">
      <c r="A10" s="57">
        <v>46172</v>
      </c>
      <c r="B10" s="54">
        <v>2</v>
      </c>
      <c r="C10" s="54">
        <v>1.7595238095238097</v>
      </c>
    </row>
    <row r="11" spans="1:17">
      <c r="A11" s="10" t="s">
        <v>2321</v>
      </c>
      <c r="B11" s="54">
        <v>12</v>
      </c>
      <c r="C11" s="54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>
      <c r="F3" s="17" t="s">
        <v>2324</v>
      </c>
      <c r="G3" s="17" t="s">
        <v>2325</v>
      </c>
      <c r="H3" s="17" t="s">
        <v>2326</v>
      </c>
      <c r="I3" s="17" t="s">
        <v>2327</v>
      </c>
      <c r="J3" s="17" t="s">
        <v>2328</v>
      </c>
      <c r="K3" s="17" t="s">
        <v>2329</v>
      </c>
    </row>
    <row r="4" spans="6:11">
      <c r="F4" s="17">
        <v>99</v>
      </c>
      <c r="G4" s="17">
        <v>101</v>
      </c>
      <c r="H4" s="17">
        <v>96</v>
      </c>
      <c r="I4" s="17">
        <v>97</v>
      </c>
      <c r="J4" s="17" t="s">
        <v>2330</v>
      </c>
    </row>
    <row r="5" spans="6:11">
      <c r="F5" s="17">
        <v>116</v>
      </c>
      <c r="H5" s="17">
        <v>110</v>
      </c>
      <c r="J5" s="17" t="s">
        <v>2331</v>
      </c>
    </row>
    <row r="6" spans="6:11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>
      <c r="A1" s="30"/>
    </row>
    <row r="2" spans="1:17" ht="18.75">
      <c r="A2" s="30"/>
      <c r="O2" s="33" t="s">
        <v>2332</v>
      </c>
    </row>
    <row r="3" spans="1:17">
      <c r="A3" s="25" t="s">
        <v>7</v>
      </c>
      <c r="B3" s="25" t="s">
        <v>2333</v>
      </c>
      <c r="C3" s="25" t="s">
        <v>2334</v>
      </c>
      <c r="D3" s="25" t="s">
        <v>2335</v>
      </c>
      <c r="E3" s="25" t="s">
        <v>2336</v>
      </c>
      <c r="F3" s="25" t="s">
        <v>2337</v>
      </c>
      <c r="H3" s="22" t="s">
        <v>2337</v>
      </c>
      <c r="I3" s="22" t="s">
        <v>2333</v>
      </c>
      <c r="J3" s="22" t="s">
        <v>2334</v>
      </c>
      <c r="K3" s="22" t="s">
        <v>2336</v>
      </c>
      <c r="L3" s="22" t="s">
        <v>2338</v>
      </c>
      <c r="M3" s="25" t="s">
        <v>2339</v>
      </c>
      <c r="O3" s="25" t="s">
        <v>7</v>
      </c>
      <c r="P3" s="25" t="s">
        <v>2336</v>
      </c>
      <c r="Q3" s="25" t="s">
        <v>14</v>
      </c>
    </row>
    <row r="4" spans="1:17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2340</v>
      </c>
      <c r="H4" s="28" t="s">
        <v>2340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2340</v>
      </c>
      <c r="H5" s="28" t="s">
        <v>2341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2340</v>
      </c>
      <c r="H6" s="28" t="s">
        <v>2342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2340</v>
      </c>
      <c r="H7" s="28" t="s">
        <v>2343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2340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2340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2340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2340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2340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2340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2341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2341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2341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2341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2341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2341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2341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2342</v>
      </c>
    </row>
    <row r="22" spans="1:17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2342</v>
      </c>
    </row>
    <row r="23" spans="1:17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2342</v>
      </c>
    </row>
    <row r="24" spans="1:17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2342</v>
      </c>
    </row>
    <row r="25" spans="1:17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2342</v>
      </c>
    </row>
    <row r="26" spans="1:17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2342</v>
      </c>
    </row>
    <row r="27" spans="1:17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2342</v>
      </c>
    </row>
    <row r="28" spans="1:17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2342</v>
      </c>
    </row>
    <row r="29" spans="1:17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2342</v>
      </c>
    </row>
    <row r="30" spans="1:17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2342</v>
      </c>
    </row>
    <row r="31" spans="1:17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2342</v>
      </c>
    </row>
    <row r="32" spans="1:17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2342</v>
      </c>
    </row>
    <row r="33" spans="1:10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2342</v>
      </c>
    </row>
    <row r="34" spans="1:10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2343</v>
      </c>
    </row>
    <row r="35" spans="1:10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2343</v>
      </c>
      <c r="I35" s="26"/>
      <c r="J35" s="26"/>
    </row>
    <row r="36" spans="1:10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2343</v>
      </c>
    </row>
    <row r="37" spans="1:10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2343</v>
      </c>
    </row>
    <row r="38" spans="1:10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2343</v>
      </c>
    </row>
    <row r="39" spans="1:10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2343</v>
      </c>
    </row>
    <row r="40" spans="1:10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2343</v>
      </c>
    </row>
    <row r="41" spans="1:10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2343</v>
      </c>
    </row>
    <row r="42" spans="1:10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2343</v>
      </c>
    </row>
    <row r="43" spans="1:10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2343</v>
      </c>
    </row>
    <row r="44" spans="1:10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2343</v>
      </c>
    </row>
    <row r="45" spans="1:10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2343</v>
      </c>
    </row>
    <row r="46" spans="1:10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2343</v>
      </c>
    </row>
    <row r="47" spans="1:10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2343</v>
      </c>
    </row>
    <row r="48" spans="1:10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2343</v>
      </c>
    </row>
    <row r="49" spans="1:6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2343</v>
      </c>
    </row>
    <row r="50" spans="1:6">
      <c r="A50" s="95" t="s">
        <v>2344</v>
      </c>
      <c r="B50" s="95"/>
      <c r="C50" s="95"/>
      <c r="E50" s="23">
        <f>SUM(E4:E49)</f>
        <v>12900</v>
      </c>
    </row>
    <row r="56" spans="1:6" ht="15.75">
      <c r="A56" s="34" t="s">
        <v>2345</v>
      </c>
    </row>
    <row r="57" spans="1:6" ht="25.5">
      <c r="A57" s="35" t="s">
        <v>2346</v>
      </c>
      <c r="B57" s="36" t="s">
        <v>2347</v>
      </c>
      <c r="C57" s="36" t="s">
        <v>2348</v>
      </c>
      <c r="D57" s="36" t="s">
        <v>2349</v>
      </c>
    </row>
    <row r="58" spans="1:6">
      <c r="A58" s="40" t="s">
        <v>2350</v>
      </c>
      <c r="B58" s="37">
        <v>108384.01</v>
      </c>
      <c r="C58" s="37"/>
      <c r="D58" s="37">
        <v>108384.01</v>
      </c>
    </row>
    <row r="59" spans="1:6">
      <c r="A59" s="40" t="s">
        <v>2351</v>
      </c>
      <c r="B59" s="37">
        <v>226208.87299999999</v>
      </c>
      <c r="C59" s="37"/>
      <c r="D59" s="37">
        <v>226208.87299999999</v>
      </c>
    </row>
    <row r="60" spans="1:6">
      <c r="A60" s="40" t="s">
        <v>2352</v>
      </c>
      <c r="B60" s="37">
        <f>185.64+208.48</f>
        <v>394.12</v>
      </c>
      <c r="C60" s="37"/>
      <c r="D60" s="37">
        <f>185.64+208.48</f>
        <v>394.12</v>
      </c>
    </row>
    <row r="61" spans="1:6">
      <c r="A61" s="40" t="s">
        <v>2353</v>
      </c>
      <c r="B61" s="37">
        <f>418.45+517.43</f>
        <v>935.87999999999988</v>
      </c>
      <c r="C61" s="37"/>
      <c r="D61" s="37">
        <f>418.45+517.43</f>
        <v>935.87999999999988</v>
      </c>
    </row>
    <row r="62" spans="1:6">
      <c r="A62" s="40" t="s">
        <v>2354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>
      <c r="A63" s="40" t="s">
        <v>2355</v>
      </c>
      <c r="B63" s="37">
        <v>23784.219000000001</v>
      </c>
      <c r="C63" s="37"/>
      <c r="D63" s="37">
        <v>23784.219000000001</v>
      </c>
    </row>
    <row r="64" spans="1:6">
      <c r="A64" s="40" t="s">
        <v>2356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>
      <c r="A65" s="40" t="s">
        <v>2357</v>
      </c>
      <c r="B65" s="37">
        <v>23860.793000000001</v>
      </c>
      <c r="C65" s="37"/>
      <c r="D65" s="37"/>
    </row>
    <row r="66" spans="1:4">
      <c r="A66" s="40" t="s">
        <v>2358</v>
      </c>
      <c r="B66" s="37">
        <v>1344.431</v>
      </c>
      <c r="C66" s="37"/>
      <c r="D66" s="37"/>
    </row>
    <row r="67" spans="1:4">
      <c r="A67" s="38" t="s">
        <v>2344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8" bestFit="1" customWidth="1"/>
    <col min="5" max="5" width="11.42578125" style="48" bestFit="1" customWidth="1"/>
    <col min="6" max="6" width="15" style="48" bestFit="1" customWidth="1"/>
    <col min="7" max="8" width="15" style="48" customWidth="1"/>
    <col min="9" max="9" width="8.140625" style="48" bestFit="1" customWidth="1"/>
    <col min="10" max="10" width="16" style="48" bestFit="1" customWidth="1"/>
    <col min="11" max="11" width="14" style="48" bestFit="1" customWidth="1"/>
    <col min="12" max="12" width="10.42578125" bestFit="1" customWidth="1"/>
  </cols>
  <sheetData>
    <row r="2" spans="2:12">
      <c r="B2" s="49" t="s">
        <v>7</v>
      </c>
      <c r="C2" s="49" t="s">
        <v>8</v>
      </c>
      <c r="D2" s="50" t="s">
        <v>2359</v>
      </c>
      <c r="E2" s="50" t="s">
        <v>2360</v>
      </c>
      <c r="F2" s="50" t="s">
        <v>2361</v>
      </c>
      <c r="G2" s="50" t="s">
        <v>2362</v>
      </c>
      <c r="H2" s="50" t="s">
        <v>2363</v>
      </c>
      <c r="I2" s="50" t="s">
        <v>2364</v>
      </c>
      <c r="J2" s="50" t="s">
        <v>2365</v>
      </c>
      <c r="K2" s="50" t="s">
        <v>2366</v>
      </c>
      <c r="L2" s="50" t="s">
        <v>14</v>
      </c>
    </row>
    <row r="3" spans="2:12">
      <c r="B3" s="51">
        <v>46160</v>
      </c>
      <c r="C3" s="51" t="s">
        <v>58</v>
      </c>
      <c r="D3" s="50">
        <v>4602</v>
      </c>
      <c r="E3" s="50">
        <v>3</v>
      </c>
      <c r="F3" s="50">
        <v>19</v>
      </c>
      <c r="G3" s="50">
        <v>2</v>
      </c>
      <c r="H3" s="50">
        <f>F3-G3</f>
        <v>17</v>
      </c>
      <c r="I3" s="50">
        <f>D3/H3</f>
        <v>270.70588235294116</v>
      </c>
      <c r="J3" s="50">
        <f>I3/25</f>
        <v>10.828235294117647</v>
      </c>
      <c r="K3" s="52">
        <f>J3/8</f>
        <v>1.3535294117647059</v>
      </c>
      <c r="L3" s="52">
        <v>2</v>
      </c>
    </row>
    <row r="4" spans="2:12">
      <c r="B4" s="51">
        <v>46161</v>
      </c>
      <c r="C4" s="51" t="s">
        <v>58</v>
      </c>
      <c r="D4" s="50">
        <v>4601</v>
      </c>
      <c r="E4" s="50">
        <v>3</v>
      </c>
      <c r="F4" s="50">
        <v>20</v>
      </c>
      <c r="G4" s="50">
        <v>2</v>
      </c>
      <c r="H4" s="50">
        <f t="shared" ref="H4:H25" si="0">F4-G4</f>
        <v>18</v>
      </c>
      <c r="I4" s="50">
        <f t="shared" ref="I4:I25" si="1">D4/H4</f>
        <v>255.61111111111111</v>
      </c>
      <c r="J4" s="50">
        <f t="shared" ref="J4:J7" si="2">I4/25</f>
        <v>10.224444444444444</v>
      </c>
      <c r="K4" s="52">
        <f t="shared" ref="K4:K25" si="3">J4/8</f>
        <v>1.2780555555555555</v>
      </c>
      <c r="L4" s="52">
        <v>2</v>
      </c>
    </row>
    <row r="5" spans="2:12">
      <c r="B5" s="51">
        <v>46162</v>
      </c>
      <c r="C5" s="51" t="s">
        <v>58</v>
      </c>
      <c r="D5" s="50">
        <v>3587</v>
      </c>
      <c r="E5" s="50">
        <v>3</v>
      </c>
      <c r="F5" s="50">
        <v>22</v>
      </c>
      <c r="G5" s="50">
        <v>2</v>
      </c>
      <c r="H5" s="50">
        <f t="shared" si="0"/>
        <v>20</v>
      </c>
      <c r="I5" s="50">
        <f t="shared" si="1"/>
        <v>179.35</v>
      </c>
      <c r="J5" s="50">
        <f t="shared" si="2"/>
        <v>7.1739999999999995</v>
      </c>
      <c r="K5" s="52">
        <f t="shared" si="3"/>
        <v>0.89674999999999994</v>
      </c>
      <c r="L5" s="52">
        <v>2</v>
      </c>
    </row>
    <row r="6" spans="2:12">
      <c r="B6" s="51">
        <v>46163</v>
      </c>
      <c r="C6" s="51" t="s">
        <v>58</v>
      </c>
      <c r="D6" s="50">
        <v>3853</v>
      </c>
      <c r="E6" s="50">
        <v>4</v>
      </c>
      <c r="F6" s="50">
        <v>22</v>
      </c>
      <c r="G6" s="50">
        <v>2</v>
      </c>
      <c r="H6" s="50">
        <f t="shared" si="0"/>
        <v>20</v>
      </c>
      <c r="I6" s="50">
        <f t="shared" si="1"/>
        <v>192.65</v>
      </c>
      <c r="J6" s="50">
        <f t="shared" si="2"/>
        <v>7.7060000000000004</v>
      </c>
      <c r="K6" s="52">
        <f t="shared" si="3"/>
        <v>0.96325000000000005</v>
      </c>
      <c r="L6" s="52">
        <v>2</v>
      </c>
    </row>
    <row r="7" spans="2:12">
      <c r="B7" s="51">
        <v>46164</v>
      </c>
      <c r="C7" s="51" t="s">
        <v>58</v>
      </c>
      <c r="D7" s="50">
        <v>6487</v>
      </c>
      <c r="E7" s="50">
        <v>5</v>
      </c>
      <c r="F7" s="50">
        <v>22</v>
      </c>
      <c r="G7" s="50">
        <v>2</v>
      </c>
      <c r="H7" s="50">
        <f t="shared" si="0"/>
        <v>20</v>
      </c>
      <c r="I7" s="50">
        <f t="shared" si="1"/>
        <v>324.35000000000002</v>
      </c>
      <c r="J7" s="50">
        <f t="shared" si="2"/>
        <v>12.974</v>
      </c>
      <c r="K7" s="52">
        <f t="shared" si="3"/>
        <v>1.62175</v>
      </c>
      <c r="L7" s="52">
        <v>2</v>
      </c>
    </row>
    <row r="8" spans="2:12">
      <c r="B8" s="51">
        <v>46165</v>
      </c>
      <c r="C8" s="51" t="s">
        <v>58</v>
      </c>
      <c r="D8" s="50">
        <v>6786</v>
      </c>
      <c r="E8" s="50">
        <v>4</v>
      </c>
      <c r="F8" s="50">
        <v>22</v>
      </c>
      <c r="G8" s="50">
        <v>2</v>
      </c>
      <c r="H8" s="50">
        <f t="shared" si="0"/>
        <v>20</v>
      </c>
      <c r="I8" s="50">
        <f t="shared" si="1"/>
        <v>339.3</v>
      </c>
      <c r="J8" s="50">
        <f>I8/25</f>
        <v>13.572000000000001</v>
      </c>
      <c r="K8" s="52">
        <f t="shared" si="3"/>
        <v>1.6965000000000001</v>
      </c>
      <c r="L8" s="52">
        <v>2</v>
      </c>
    </row>
    <row r="9" spans="2:12">
      <c r="B9" s="51">
        <v>46153</v>
      </c>
      <c r="C9" s="51" t="s">
        <v>57</v>
      </c>
      <c r="D9" s="50">
        <v>3615</v>
      </c>
      <c r="E9" s="50">
        <v>2</v>
      </c>
      <c r="F9" s="50">
        <v>20</v>
      </c>
      <c r="G9" s="50">
        <v>2</v>
      </c>
      <c r="H9" s="50">
        <f t="shared" si="0"/>
        <v>18</v>
      </c>
      <c r="I9" s="50">
        <f t="shared" si="1"/>
        <v>200.83333333333334</v>
      </c>
      <c r="J9" s="50">
        <f>I9/25</f>
        <v>8.0333333333333332</v>
      </c>
      <c r="K9" s="52">
        <f t="shared" si="3"/>
        <v>1.0041666666666667</v>
      </c>
      <c r="L9" s="52">
        <v>4</v>
      </c>
    </row>
    <row r="10" spans="2:12">
      <c r="B10" s="51">
        <v>46154</v>
      </c>
      <c r="C10" s="51" t="s">
        <v>57</v>
      </c>
      <c r="D10" s="50">
        <v>5949</v>
      </c>
      <c r="E10" s="50">
        <v>3</v>
      </c>
      <c r="F10" s="50">
        <v>20</v>
      </c>
      <c r="G10" s="50">
        <v>2</v>
      </c>
      <c r="H10" s="50">
        <f t="shared" si="0"/>
        <v>18</v>
      </c>
      <c r="I10" s="50">
        <f t="shared" si="1"/>
        <v>330.5</v>
      </c>
      <c r="J10" s="50">
        <f t="shared" ref="J10:J16" si="4">I10/25</f>
        <v>13.22</v>
      </c>
      <c r="K10" s="52">
        <f t="shared" si="3"/>
        <v>1.6525000000000001</v>
      </c>
      <c r="L10" s="52">
        <v>2</v>
      </c>
    </row>
    <row r="11" spans="2:12">
      <c r="B11" s="51">
        <v>46156</v>
      </c>
      <c r="C11" s="51" t="s">
        <v>57</v>
      </c>
      <c r="D11" s="50">
        <v>6222</v>
      </c>
      <c r="E11" s="50">
        <v>3</v>
      </c>
      <c r="F11" s="50">
        <v>22</v>
      </c>
      <c r="G11" s="50">
        <v>2</v>
      </c>
      <c r="H11" s="50">
        <f t="shared" si="0"/>
        <v>20</v>
      </c>
      <c r="I11" s="50">
        <f t="shared" si="1"/>
        <v>311.10000000000002</v>
      </c>
      <c r="J11" s="50">
        <f t="shared" si="4"/>
        <v>12.444000000000001</v>
      </c>
      <c r="K11" s="52">
        <f t="shared" si="3"/>
        <v>1.5555000000000001</v>
      </c>
      <c r="L11" s="52">
        <v>2</v>
      </c>
    </row>
    <row r="12" spans="2:12">
      <c r="B12" s="51">
        <v>46157</v>
      </c>
      <c r="C12" s="51" t="s">
        <v>57</v>
      </c>
      <c r="D12" s="50">
        <v>5481</v>
      </c>
      <c r="E12" s="50">
        <v>2</v>
      </c>
      <c r="F12" s="50">
        <v>22</v>
      </c>
      <c r="G12" s="50">
        <v>2</v>
      </c>
      <c r="H12" s="50">
        <f t="shared" si="0"/>
        <v>20</v>
      </c>
      <c r="I12" s="50">
        <f t="shared" si="1"/>
        <v>274.05</v>
      </c>
      <c r="J12" s="50">
        <f t="shared" si="4"/>
        <v>10.962</v>
      </c>
      <c r="K12" s="52">
        <f t="shared" si="3"/>
        <v>1.37025</v>
      </c>
      <c r="L12" s="52">
        <v>2</v>
      </c>
    </row>
    <row r="13" spans="2:12">
      <c r="B13" s="51">
        <v>46158</v>
      </c>
      <c r="C13" s="51" t="s">
        <v>57</v>
      </c>
      <c r="D13" s="50">
        <v>2378</v>
      </c>
      <c r="E13" s="50">
        <v>2</v>
      </c>
      <c r="F13" s="50">
        <v>22</v>
      </c>
      <c r="G13" s="50">
        <v>2</v>
      </c>
      <c r="H13" s="50">
        <f t="shared" si="0"/>
        <v>20</v>
      </c>
      <c r="I13" s="50">
        <f t="shared" si="1"/>
        <v>118.9</v>
      </c>
      <c r="J13" s="50">
        <f t="shared" si="4"/>
        <v>4.7560000000000002</v>
      </c>
      <c r="K13" s="52">
        <f t="shared" si="3"/>
        <v>0.59450000000000003</v>
      </c>
      <c r="L13" s="52">
        <v>2</v>
      </c>
    </row>
    <row r="14" spans="2:12">
      <c r="B14" s="51">
        <v>46146</v>
      </c>
      <c r="C14" s="53" t="s">
        <v>35</v>
      </c>
      <c r="D14" s="50">
        <v>6571</v>
      </c>
      <c r="E14" s="50">
        <v>3</v>
      </c>
      <c r="F14" s="50">
        <v>20</v>
      </c>
      <c r="G14" s="50">
        <v>2</v>
      </c>
      <c r="H14" s="50">
        <f t="shared" si="0"/>
        <v>18</v>
      </c>
      <c r="I14" s="50">
        <f t="shared" si="1"/>
        <v>365.05555555555554</v>
      </c>
      <c r="J14" s="50">
        <f t="shared" si="4"/>
        <v>14.602222222222222</v>
      </c>
      <c r="K14" s="52">
        <f t="shared" si="3"/>
        <v>1.8252777777777778</v>
      </c>
      <c r="L14" s="52">
        <v>2</v>
      </c>
    </row>
    <row r="15" spans="2:12">
      <c r="B15" s="51">
        <v>46147</v>
      </c>
      <c r="C15" s="53" t="s">
        <v>35</v>
      </c>
      <c r="D15" s="50">
        <v>5905</v>
      </c>
      <c r="E15" s="50">
        <v>2</v>
      </c>
      <c r="F15" s="50">
        <v>20</v>
      </c>
      <c r="G15" s="50">
        <v>2</v>
      </c>
      <c r="H15" s="50">
        <f t="shared" si="0"/>
        <v>18</v>
      </c>
      <c r="I15" s="50">
        <f t="shared" si="1"/>
        <v>328.05555555555554</v>
      </c>
      <c r="J15" s="50">
        <f t="shared" si="4"/>
        <v>13.122222222222222</v>
      </c>
      <c r="K15" s="52">
        <f t="shared" si="3"/>
        <v>1.6402777777777777</v>
      </c>
      <c r="L15" s="52">
        <v>2</v>
      </c>
    </row>
    <row r="16" spans="2:12">
      <c r="B16" s="51">
        <v>46148</v>
      </c>
      <c r="C16" s="53" t="s">
        <v>35</v>
      </c>
      <c r="D16" s="50">
        <v>3942</v>
      </c>
      <c r="E16" s="50">
        <v>2</v>
      </c>
      <c r="F16" s="50">
        <v>20</v>
      </c>
      <c r="G16" s="50">
        <v>2</v>
      </c>
      <c r="H16" s="50">
        <f t="shared" si="0"/>
        <v>18</v>
      </c>
      <c r="I16" s="50">
        <f t="shared" si="1"/>
        <v>219</v>
      </c>
      <c r="J16" s="50">
        <f t="shared" si="4"/>
        <v>8.76</v>
      </c>
      <c r="K16" s="52">
        <f t="shared" si="3"/>
        <v>1.095</v>
      </c>
      <c r="L16" s="52">
        <v>2</v>
      </c>
    </row>
    <row r="17" spans="2:12">
      <c r="B17" s="51">
        <v>46149</v>
      </c>
      <c r="C17" s="53" t="s">
        <v>35</v>
      </c>
      <c r="D17" s="50">
        <v>4670</v>
      </c>
      <c r="E17" s="50">
        <v>2</v>
      </c>
      <c r="F17" s="50">
        <v>20</v>
      </c>
      <c r="G17" s="50">
        <v>2</v>
      </c>
      <c r="H17" s="50">
        <f t="shared" si="0"/>
        <v>18</v>
      </c>
      <c r="I17" s="50">
        <f t="shared" si="1"/>
        <v>259.44444444444446</v>
      </c>
      <c r="J17" s="50">
        <f t="shared" ref="J17:J25" si="5">I17/25</f>
        <v>10.377777777777778</v>
      </c>
      <c r="K17" s="52">
        <f t="shared" si="3"/>
        <v>1.2972222222222223</v>
      </c>
      <c r="L17" s="52">
        <v>2</v>
      </c>
    </row>
    <row r="18" spans="2:12">
      <c r="B18" s="51">
        <v>46150</v>
      </c>
      <c r="C18" s="53" t="s">
        <v>35</v>
      </c>
      <c r="D18" s="50">
        <v>5774</v>
      </c>
      <c r="E18" s="50">
        <v>2</v>
      </c>
      <c r="F18" s="50">
        <v>20</v>
      </c>
      <c r="G18" s="50">
        <v>2</v>
      </c>
      <c r="H18" s="50">
        <f t="shared" si="0"/>
        <v>18</v>
      </c>
      <c r="I18" s="50">
        <f t="shared" si="1"/>
        <v>320.77777777777777</v>
      </c>
      <c r="J18" s="50">
        <f t="shared" si="5"/>
        <v>12.831111111111111</v>
      </c>
      <c r="K18" s="52">
        <f t="shared" si="3"/>
        <v>1.6038888888888889</v>
      </c>
      <c r="L18" s="52">
        <v>2</v>
      </c>
    </row>
    <row r="19" spans="2:12">
      <c r="B19" s="51">
        <v>46151</v>
      </c>
      <c r="C19" s="53" t="s">
        <v>35</v>
      </c>
      <c r="D19" s="50">
        <v>3730</v>
      </c>
      <c r="E19" s="50">
        <v>2</v>
      </c>
      <c r="F19" s="50">
        <v>20</v>
      </c>
      <c r="G19" s="50">
        <v>2</v>
      </c>
      <c r="H19" s="50">
        <f t="shared" si="0"/>
        <v>18</v>
      </c>
      <c r="I19" s="50">
        <f t="shared" si="1"/>
        <v>207.22222222222223</v>
      </c>
      <c r="J19" s="50">
        <f t="shared" si="5"/>
        <v>8.2888888888888896</v>
      </c>
      <c r="K19" s="52">
        <f t="shared" si="3"/>
        <v>1.0361111111111112</v>
      </c>
      <c r="L19" s="52">
        <v>2</v>
      </c>
    </row>
    <row r="20" spans="2:12">
      <c r="B20" s="51">
        <v>46167</v>
      </c>
      <c r="C20" s="53" t="s">
        <v>62</v>
      </c>
      <c r="D20" s="50">
        <v>11690</v>
      </c>
      <c r="E20" s="50">
        <v>2</v>
      </c>
      <c r="F20" s="50">
        <v>20</v>
      </c>
      <c r="G20" s="50">
        <v>2</v>
      </c>
      <c r="H20" s="50">
        <f t="shared" si="0"/>
        <v>18</v>
      </c>
      <c r="I20" s="50">
        <f t="shared" si="1"/>
        <v>649.44444444444446</v>
      </c>
      <c r="J20" s="50">
        <f t="shared" si="5"/>
        <v>25.977777777777778</v>
      </c>
      <c r="K20" s="52">
        <f t="shared" si="3"/>
        <v>3.2472222222222222</v>
      </c>
      <c r="L20" s="52">
        <v>2</v>
      </c>
    </row>
    <row r="21" spans="2:12">
      <c r="B21" s="51">
        <v>46168</v>
      </c>
      <c r="C21" s="53" t="s">
        <v>62</v>
      </c>
      <c r="D21" s="50">
        <v>9500</v>
      </c>
      <c r="E21" s="50">
        <v>2</v>
      </c>
      <c r="F21" s="50">
        <v>22</v>
      </c>
      <c r="G21" s="50">
        <v>2</v>
      </c>
      <c r="H21" s="50">
        <f t="shared" si="0"/>
        <v>20</v>
      </c>
      <c r="I21" s="50">
        <f t="shared" si="1"/>
        <v>475</v>
      </c>
      <c r="J21" s="50">
        <f t="shared" si="5"/>
        <v>19</v>
      </c>
      <c r="K21" s="52">
        <f t="shared" si="3"/>
        <v>2.375</v>
      </c>
      <c r="L21" s="52">
        <v>2</v>
      </c>
    </row>
    <row r="22" spans="2:12">
      <c r="B22" s="51">
        <v>46169</v>
      </c>
      <c r="C22" s="53" t="s">
        <v>62</v>
      </c>
      <c r="D22" s="50">
        <v>7325</v>
      </c>
      <c r="E22" s="50">
        <v>2</v>
      </c>
      <c r="F22" s="50">
        <v>22</v>
      </c>
      <c r="G22" s="50">
        <v>2</v>
      </c>
      <c r="H22" s="50">
        <f t="shared" si="0"/>
        <v>20</v>
      </c>
      <c r="I22" s="50">
        <f t="shared" si="1"/>
        <v>366.25</v>
      </c>
      <c r="J22" s="50">
        <f t="shared" si="5"/>
        <v>14.65</v>
      </c>
      <c r="K22" s="52">
        <f t="shared" si="3"/>
        <v>1.83125</v>
      </c>
      <c r="L22" s="52">
        <v>2</v>
      </c>
    </row>
    <row r="23" spans="2:12">
      <c r="B23" s="51">
        <v>46170</v>
      </c>
      <c r="C23" s="53" t="s">
        <v>62</v>
      </c>
      <c r="D23" s="50">
        <v>8857</v>
      </c>
      <c r="E23" s="50">
        <v>2</v>
      </c>
      <c r="F23" s="50">
        <v>22</v>
      </c>
      <c r="G23" s="50">
        <v>2</v>
      </c>
      <c r="H23" s="50">
        <f t="shared" si="0"/>
        <v>20</v>
      </c>
      <c r="I23" s="50">
        <f t="shared" si="1"/>
        <v>442.85</v>
      </c>
      <c r="J23" s="50">
        <f t="shared" si="5"/>
        <v>17.714000000000002</v>
      </c>
      <c r="K23" s="52">
        <f t="shared" si="3"/>
        <v>2.2142500000000003</v>
      </c>
      <c r="L23" s="52">
        <v>2</v>
      </c>
    </row>
    <row r="24" spans="2:12">
      <c r="B24" s="51">
        <v>46171</v>
      </c>
      <c r="C24" s="53" t="s">
        <v>62</v>
      </c>
      <c r="D24" s="50">
        <v>8886</v>
      </c>
      <c r="E24" s="50">
        <v>2</v>
      </c>
      <c r="F24" s="50">
        <v>24</v>
      </c>
      <c r="G24" s="50">
        <v>2</v>
      </c>
      <c r="H24" s="50">
        <f t="shared" si="0"/>
        <v>22</v>
      </c>
      <c r="I24" s="50">
        <f t="shared" si="1"/>
        <v>403.90909090909093</v>
      </c>
      <c r="J24" s="50">
        <f t="shared" si="5"/>
        <v>16.156363636363636</v>
      </c>
      <c r="K24" s="52">
        <f t="shared" si="3"/>
        <v>2.0195454545454545</v>
      </c>
      <c r="L24" s="52">
        <v>2</v>
      </c>
    </row>
    <row r="25" spans="2:12">
      <c r="B25" s="51">
        <v>46172</v>
      </c>
      <c r="C25" s="53" t="s">
        <v>62</v>
      </c>
      <c r="D25" s="50">
        <v>7390</v>
      </c>
      <c r="E25" s="50">
        <v>2</v>
      </c>
      <c r="F25" s="50">
        <v>23</v>
      </c>
      <c r="G25" s="50">
        <v>2</v>
      </c>
      <c r="H25" s="50">
        <f t="shared" si="0"/>
        <v>21</v>
      </c>
      <c r="I25" s="50">
        <f t="shared" si="1"/>
        <v>351.90476190476193</v>
      </c>
      <c r="J25" s="50">
        <f t="shared" si="5"/>
        <v>14.076190476190478</v>
      </c>
      <c r="K25" s="52">
        <f t="shared" si="3"/>
        <v>1.7595238095238097</v>
      </c>
      <c r="L25" s="52">
        <v>2</v>
      </c>
    </row>
    <row r="26" spans="2:12">
      <c r="B26" s="51"/>
      <c r="C26" s="53"/>
      <c r="D26" s="50"/>
      <c r="E26" s="50"/>
      <c r="F26" s="50"/>
      <c r="G26" s="50"/>
      <c r="H26" s="50"/>
      <c r="I26" s="50"/>
      <c r="J26" s="50"/>
      <c r="K26" s="52"/>
      <c r="L26" s="52"/>
    </row>
    <row r="27" spans="2:12">
      <c r="B27" s="51"/>
      <c r="C27" s="53"/>
      <c r="D27" s="50"/>
      <c r="E27" s="50"/>
      <c r="F27" s="50"/>
      <c r="G27" s="50"/>
      <c r="H27" s="50"/>
      <c r="I27" s="50"/>
      <c r="J27" s="50"/>
      <c r="K27" s="52"/>
      <c r="L27" s="52"/>
    </row>
    <row r="28" spans="2:12">
      <c r="B28" s="51"/>
      <c r="C28" s="53"/>
      <c r="D28" s="50"/>
      <c r="E28" s="50"/>
      <c r="F28" s="50"/>
      <c r="G28" s="50"/>
      <c r="H28" s="50"/>
      <c r="I28" s="50"/>
      <c r="J28" s="50"/>
      <c r="K28" s="52"/>
      <c r="L28" s="52"/>
    </row>
    <row r="29" spans="2:12">
      <c r="B29" s="51"/>
      <c r="C29" s="53"/>
      <c r="D29" s="50"/>
      <c r="E29" s="50"/>
      <c r="F29" s="50"/>
      <c r="G29" s="50"/>
      <c r="H29" s="50"/>
      <c r="I29" s="50"/>
      <c r="J29" s="50"/>
      <c r="K29" s="52"/>
      <c r="L29" s="52"/>
    </row>
    <row r="30" spans="2:12">
      <c r="B30" s="51"/>
      <c r="C30" s="53"/>
      <c r="D30" s="50"/>
      <c r="E30" s="50"/>
      <c r="F30" s="50"/>
      <c r="G30" s="50"/>
      <c r="H30" s="50"/>
      <c r="I30" s="50"/>
      <c r="J30" s="50"/>
      <c r="K30" s="52"/>
      <c r="L30" s="52"/>
    </row>
    <row r="31" spans="2:12">
      <c r="B31" s="51"/>
      <c r="C31" s="53"/>
      <c r="D31" s="50"/>
      <c r="E31" s="50"/>
      <c r="F31" s="50"/>
      <c r="G31" s="50"/>
      <c r="H31" s="50"/>
      <c r="I31" s="50"/>
      <c r="J31" s="50"/>
      <c r="K31" s="52"/>
      <c r="L31" s="52"/>
    </row>
    <row r="32" spans="2:12">
      <c r="B32" s="51"/>
      <c r="C32" s="53"/>
      <c r="D32" s="50"/>
      <c r="E32" s="50"/>
      <c r="F32" s="50"/>
      <c r="G32" s="50"/>
      <c r="H32" s="50"/>
      <c r="I32" s="50"/>
      <c r="J32" s="50"/>
      <c r="K32" s="52"/>
      <c r="L32" s="52"/>
    </row>
    <row r="33" spans="2:12">
      <c r="B33" s="51"/>
      <c r="C33" s="53"/>
      <c r="D33" s="50"/>
      <c r="E33" s="50"/>
      <c r="F33" s="50"/>
      <c r="G33" s="50"/>
      <c r="H33" s="50"/>
      <c r="I33" s="50"/>
      <c r="J33" s="50"/>
      <c r="K33" s="52"/>
      <c r="L33" s="52"/>
    </row>
    <row r="34" spans="2:12">
      <c r="B34" s="51"/>
      <c r="C34" s="53"/>
      <c r="D34" s="50"/>
      <c r="E34" s="50"/>
      <c r="F34" s="50"/>
      <c r="G34" s="50"/>
      <c r="H34" s="50"/>
      <c r="I34" s="50"/>
      <c r="J34" s="50"/>
      <c r="K34" s="52"/>
      <c r="L34" s="52"/>
    </row>
    <row r="35" spans="2:12">
      <c r="B35" s="51"/>
      <c r="C35" s="53"/>
      <c r="D35" s="50"/>
      <c r="E35" s="50"/>
      <c r="F35" s="50"/>
      <c r="G35" s="50"/>
      <c r="H35" s="50"/>
      <c r="I35" s="50"/>
      <c r="J35" s="50"/>
      <c r="K35" s="52"/>
      <c r="L35" s="52"/>
    </row>
    <row r="36" spans="2:12">
      <c r="B36" s="51"/>
      <c r="C36" s="53"/>
      <c r="D36" s="50"/>
      <c r="E36" s="50"/>
      <c r="F36" s="50"/>
      <c r="G36" s="50"/>
      <c r="H36" s="50"/>
      <c r="I36" s="50"/>
      <c r="J36" s="50"/>
      <c r="K36" s="52"/>
      <c r="L36" s="52"/>
    </row>
    <row r="37" spans="2:12">
      <c r="B37" s="51"/>
      <c r="C37" s="53"/>
      <c r="D37" s="50"/>
      <c r="E37" s="50"/>
      <c r="F37" s="50"/>
      <c r="G37" s="50"/>
      <c r="H37" s="50"/>
      <c r="I37" s="50"/>
      <c r="J37" s="50"/>
      <c r="K37" s="52"/>
      <c r="L37" s="52"/>
    </row>
    <row r="38" spans="2:12">
      <c r="B38" s="51"/>
      <c r="C38" s="53"/>
      <c r="D38" s="50"/>
      <c r="E38" s="50"/>
      <c r="F38" s="50"/>
      <c r="G38" s="50"/>
      <c r="H38" s="50"/>
      <c r="I38" s="50"/>
      <c r="J38" s="50"/>
      <c r="K38" s="52"/>
      <c r="L38" s="52"/>
    </row>
    <row r="39" spans="2:12">
      <c r="B39" s="51"/>
      <c r="C39" s="53"/>
      <c r="D39" s="50"/>
      <c r="E39" s="50"/>
      <c r="F39" s="50"/>
      <c r="G39" s="50"/>
      <c r="H39" s="50"/>
      <c r="I39" s="50"/>
      <c r="J39" s="50"/>
      <c r="K39" s="52"/>
      <c r="L39" s="52"/>
    </row>
    <row r="40" spans="2:12">
      <c r="B40" s="51"/>
      <c r="C40" s="53"/>
      <c r="D40" s="50"/>
      <c r="E40" s="50"/>
      <c r="F40" s="50"/>
      <c r="G40" s="50"/>
      <c r="H40" s="50"/>
      <c r="I40" s="50"/>
      <c r="J40" s="50"/>
      <c r="K40" s="52"/>
      <c r="L40" s="52"/>
    </row>
    <row r="41" spans="2:12">
      <c r="B41" s="51"/>
      <c r="C41" s="53"/>
      <c r="D41" s="50"/>
      <c r="E41" s="50"/>
      <c r="F41" s="50"/>
      <c r="G41" s="50"/>
      <c r="H41" s="50"/>
      <c r="I41" s="50"/>
      <c r="J41" s="50"/>
      <c r="K41" s="52"/>
      <c r="L41" s="52"/>
    </row>
    <row r="42" spans="2:12">
      <c r="B42" s="51"/>
      <c r="C42" s="53"/>
      <c r="D42" s="50"/>
      <c r="E42" s="50"/>
      <c r="F42" s="50"/>
      <c r="G42" s="50"/>
      <c r="H42" s="50"/>
      <c r="I42" s="50"/>
      <c r="J42" s="50"/>
      <c r="K42" s="52"/>
      <c r="L42" s="52"/>
    </row>
    <row r="43" spans="2:12">
      <c r="B43" s="51"/>
      <c r="C43" s="53"/>
      <c r="D43" s="50"/>
      <c r="E43" s="50"/>
      <c r="F43" s="50"/>
      <c r="G43" s="50"/>
      <c r="H43" s="50"/>
      <c r="I43" s="50"/>
      <c r="J43" s="50"/>
      <c r="K43" s="52"/>
      <c r="L43" s="52"/>
    </row>
    <row r="44" spans="2:12">
      <c r="B44" s="51"/>
      <c r="C44" s="53"/>
      <c r="D44" s="50"/>
      <c r="E44" s="50"/>
      <c r="F44" s="50"/>
      <c r="G44" s="50"/>
      <c r="H44" s="50"/>
      <c r="I44" s="50"/>
      <c r="J44" s="50"/>
      <c r="K44" s="52"/>
      <c r="L44" s="52"/>
    </row>
    <row r="45" spans="2:12">
      <c r="B45" s="51"/>
      <c r="C45" s="53"/>
      <c r="D45" s="50"/>
      <c r="E45" s="50"/>
      <c r="F45" s="50"/>
      <c r="G45" s="50"/>
      <c r="H45" s="50"/>
      <c r="I45" s="50"/>
      <c r="J45" s="50"/>
      <c r="K45" s="52"/>
      <c r="L45" s="52"/>
    </row>
    <row r="46" spans="2:12">
      <c r="B46" s="51"/>
      <c r="C46" s="53"/>
      <c r="D46" s="50"/>
      <c r="E46" s="50"/>
      <c r="F46" s="50"/>
      <c r="G46" s="50"/>
      <c r="H46" s="50"/>
      <c r="I46" s="50"/>
      <c r="J46" s="50"/>
      <c r="K46" s="52"/>
      <c r="L46" s="52"/>
    </row>
    <row r="47" spans="2:12">
      <c r="B47" s="51"/>
      <c r="C47" s="53"/>
      <c r="D47" s="50"/>
      <c r="E47" s="50"/>
      <c r="F47" s="50"/>
      <c r="G47" s="50"/>
      <c r="H47" s="50"/>
      <c r="I47" s="50"/>
      <c r="J47" s="50"/>
      <c r="K47" s="52"/>
      <c r="L47" s="52"/>
    </row>
    <row r="48" spans="2:12">
      <c r="B48" s="51"/>
      <c r="C48" s="53"/>
      <c r="D48" s="50"/>
      <c r="E48" s="50"/>
      <c r="F48" s="50"/>
      <c r="G48" s="50"/>
      <c r="H48" s="50"/>
      <c r="I48" s="50"/>
      <c r="J48" s="50"/>
      <c r="K48" s="52"/>
      <c r="L48" s="52"/>
    </row>
    <row r="49" spans="2:12">
      <c r="B49" s="51"/>
      <c r="C49" s="53"/>
      <c r="D49" s="50"/>
      <c r="E49" s="50"/>
      <c r="F49" s="50"/>
      <c r="G49" s="50"/>
      <c r="H49" s="50"/>
      <c r="I49" s="50"/>
      <c r="J49" s="50"/>
      <c r="K49" s="52"/>
      <c r="L49" s="52"/>
    </row>
    <row r="50" spans="2:12">
      <c r="B50" s="51"/>
      <c r="C50" s="53"/>
      <c r="D50" s="50"/>
      <c r="E50" s="50"/>
      <c r="F50" s="50"/>
      <c r="G50" s="50"/>
      <c r="H50" s="50"/>
      <c r="I50" s="50"/>
      <c r="J50" s="50"/>
      <c r="K50" s="52"/>
      <c r="L50" s="52"/>
    </row>
    <row r="51" spans="2:12">
      <c r="B51" s="51"/>
      <c r="C51" s="53"/>
      <c r="D51" s="50"/>
      <c r="E51" s="50"/>
      <c r="F51" s="50"/>
      <c r="G51" s="50"/>
      <c r="H51" s="50"/>
      <c r="I51" s="50"/>
      <c r="J51" s="50"/>
      <c r="K51" s="52"/>
      <c r="L51" s="52"/>
    </row>
    <row r="52" spans="2:12">
      <c r="B52" s="51"/>
      <c r="C52" s="53"/>
      <c r="D52" s="50"/>
      <c r="E52" s="50"/>
      <c r="F52" s="50"/>
      <c r="G52" s="50"/>
      <c r="H52" s="50"/>
      <c r="I52" s="50"/>
      <c r="J52" s="50"/>
      <c r="K52" s="52"/>
      <c r="L52" s="52"/>
    </row>
    <row r="53" spans="2:12">
      <c r="B53" s="51"/>
      <c r="C53" s="53"/>
      <c r="D53" s="50"/>
      <c r="E53" s="50"/>
      <c r="F53" s="50"/>
      <c r="G53" s="50"/>
      <c r="H53" s="50"/>
      <c r="I53" s="50"/>
      <c r="J53" s="50"/>
      <c r="K53" s="52"/>
      <c r="L53" s="52"/>
    </row>
    <row r="54" spans="2:12">
      <c r="B54" s="51"/>
      <c r="C54" s="53"/>
      <c r="D54" s="50"/>
      <c r="E54" s="50"/>
      <c r="F54" s="50"/>
      <c r="G54" s="50"/>
      <c r="H54" s="50"/>
      <c r="I54" s="50"/>
      <c r="J54" s="50"/>
      <c r="K54" s="52"/>
      <c r="L54" s="52"/>
    </row>
    <row r="55" spans="2:12">
      <c r="B55" s="51"/>
      <c r="C55" s="53"/>
      <c r="D55" s="50"/>
      <c r="E55" s="50"/>
      <c r="F55" s="50"/>
      <c r="G55" s="50"/>
      <c r="H55" s="50"/>
      <c r="I55" s="50"/>
      <c r="J55" s="50"/>
      <c r="K55" s="52"/>
      <c r="L55" s="52"/>
    </row>
    <row r="56" spans="2:12">
      <c r="B56" s="51"/>
      <c r="C56" s="53"/>
      <c r="D56" s="50"/>
      <c r="E56" s="50"/>
      <c r="F56" s="50"/>
      <c r="G56" s="50"/>
      <c r="H56" s="50"/>
      <c r="I56" s="50"/>
      <c r="J56" s="50"/>
      <c r="K56" s="52"/>
      <c r="L56" s="52"/>
    </row>
    <row r="57" spans="2:12">
      <c r="B57" s="51"/>
      <c r="C57" s="53"/>
      <c r="D57" s="50"/>
      <c r="E57" s="50"/>
      <c r="F57" s="50"/>
      <c r="G57" s="50"/>
      <c r="H57" s="50"/>
      <c r="I57" s="50"/>
      <c r="J57" s="50"/>
      <c r="K57" s="52"/>
      <c r="L57" s="52"/>
    </row>
    <row r="58" spans="2:12">
      <c r="B58" s="51"/>
      <c r="C58" s="53"/>
      <c r="D58" s="50"/>
      <c r="E58" s="50"/>
      <c r="F58" s="50"/>
      <c r="G58" s="50"/>
      <c r="H58" s="50"/>
      <c r="I58" s="50"/>
      <c r="J58" s="50"/>
      <c r="K58" s="52"/>
      <c r="L58" s="52"/>
    </row>
    <row r="59" spans="2:12">
      <c r="B59" s="51"/>
      <c r="C59" s="53"/>
      <c r="D59" s="50"/>
      <c r="E59" s="50"/>
      <c r="F59" s="50"/>
      <c r="G59" s="50"/>
      <c r="H59" s="50"/>
      <c r="I59" s="50"/>
      <c r="J59" s="50"/>
      <c r="K59" s="52"/>
      <c r="L59" s="52"/>
    </row>
    <row r="60" spans="2:12">
      <c r="B60" s="51"/>
      <c r="C60" s="53"/>
      <c r="D60" s="50"/>
      <c r="E60" s="50"/>
      <c r="F60" s="50"/>
      <c r="G60" s="50"/>
      <c r="H60" s="50"/>
      <c r="I60" s="50"/>
      <c r="J60" s="50"/>
      <c r="K60" s="52"/>
      <c r="L60" s="52"/>
    </row>
    <row r="61" spans="2:12">
      <c r="B61" s="51"/>
      <c r="C61" s="53"/>
      <c r="D61" s="50"/>
      <c r="E61" s="50"/>
      <c r="F61" s="50"/>
      <c r="G61" s="50"/>
      <c r="H61" s="50"/>
      <c r="I61" s="50"/>
      <c r="J61" s="50"/>
      <c r="K61" s="52"/>
      <c r="L61" s="52"/>
    </row>
    <row r="62" spans="2:12">
      <c r="B62" s="51"/>
      <c r="C62" s="53"/>
      <c r="D62" s="50"/>
      <c r="E62" s="50"/>
      <c r="F62" s="50"/>
      <c r="G62" s="50"/>
      <c r="H62" s="50"/>
      <c r="I62" s="50"/>
      <c r="J62" s="50"/>
      <c r="K62" s="52"/>
      <c r="L62" s="52"/>
    </row>
    <row r="63" spans="2:12">
      <c r="B63" s="51"/>
      <c r="C63" s="53"/>
      <c r="D63" s="50"/>
      <c r="E63" s="50"/>
      <c r="F63" s="50"/>
      <c r="G63" s="50"/>
      <c r="H63" s="50"/>
      <c r="I63" s="50"/>
      <c r="J63" s="50"/>
      <c r="K63" s="52"/>
      <c r="L63" s="52"/>
    </row>
    <row r="64" spans="2:12">
      <c r="B64" s="51"/>
      <c r="C64" s="53"/>
      <c r="D64" s="50"/>
      <c r="E64" s="50"/>
      <c r="F64" s="50"/>
      <c r="G64" s="50"/>
      <c r="H64" s="50"/>
      <c r="I64" s="50"/>
      <c r="J64" s="50"/>
      <c r="K64" s="52"/>
      <c r="L64" s="52"/>
    </row>
    <row r="65" spans="2:12">
      <c r="B65" s="51"/>
      <c r="C65" s="53"/>
      <c r="D65" s="50"/>
      <c r="E65" s="50"/>
      <c r="F65" s="50"/>
      <c r="G65" s="50"/>
      <c r="H65" s="50"/>
      <c r="I65" s="50"/>
      <c r="J65" s="50"/>
      <c r="K65" s="52"/>
      <c r="L65" s="52"/>
    </row>
    <row r="66" spans="2:12">
      <c r="B66" s="51"/>
      <c r="C66" s="53"/>
      <c r="D66" s="50"/>
      <c r="E66" s="50"/>
      <c r="F66" s="50"/>
      <c r="G66" s="50"/>
      <c r="H66" s="50"/>
      <c r="I66" s="50"/>
      <c r="J66" s="50"/>
      <c r="K66" s="52"/>
      <c r="L66" s="52"/>
    </row>
    <row r="67" spans="2:12">
      <c r="B67" s="51"/>
      <c r="C67" s="53"/>
      <c r="D67" s="50"/>
      <c r="E67" s="50"/>
      <c r="F67" s="50"/>
      <c r="G67" s="50"/>
      <c r="H67" s="50"/>
      <c r="I67" s="50"/>
      <c r="J67" s="50"/>
      <c r="K67" s="52"/>
      <c r="L67" s="52"/>
    </row>
    <row r="68" spans="2:12">
      <c r="B68" s="51"/>
      <c r="C68" s="53"/>
      <c r="D68" s="50"/>
      <c r="E68" s="50"/>
      <c r="F68" s="50"/>
      <c r="G68" s="50"/>
      <c r="H68" s="50"/>
      <c r="I68" s="50"/>
      <c r="J68" s="50"/>
      <c r="K68" s="52"/>
      <c r="L68" s="52"/>
    </row>
    <row r="69" spans="2:12">
      <c r="B69" s="51"/>
      <c r="C69" s="53"/>
      <c r="D69" s="50"/>
      <c r="E69" s="50"/>
      <c r="F69" s="50"/>
      <c r="G69" s="50"/>
      <c r="H69" s="50"/>
      <c r="I69" s="50"/>
      <c r="J69" s="50"/>
      <c r="K69" s="52"/>
      <c r="L69" s="52"/>
    </row>
    <row r="70" spans="2:12">
      <c r="B70" s="51"/>
      <c r="C70" s="53"/>
      <c r="D70" s="50"/>
      <c r="E70" s="50"/>
      <c r="F70" s="50"/>
      <c r="G70" s="50"/>
      <c r="H70" s="50"/>
      <c r="I70" s="50"/>
      <c r="J70" s="50"/>
      <c r="K70" s="52"/>
      <c r="L70" s="52"/>
    </row>
    <row r="71" spans="2:12">
      <c r="B71" s="51"/>
      <c r="C71" s="53"/>
      <c r="D71" s="50"/>
      <c r="E71" s="50"/>
      <c r="F71" s="50"/>
      <c r="G71" s="50"/>
      <c r="H71" s="50"/>
      <c r="I71" s="50"/>
      <c r="J71" s="50"/>
      <c r="K71" s="52"/>
      <c r="L71" s="52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dcterms:created xsi:type="dcterms:W3CDTF">2026-05-12T12:10:54Z</dcterms:created>
  <dcterms:modified xsi:type="dcterms:W3CDTF">2026-07-29T17:27:29Z</dcterms:modified>
  <cp:category/>
  <cp:contentStatus/>
</cp:coreProperties>
</file>