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123" documentId="8_{CE5C6F22-4BE2-41D0-BCDC-905D26C0C4E3}" xr6:coauthVersionLast="47" xr6:coauthVersionMax="47" xr10:uidLastSave="{B8BC8CF0-76F7-4A07-AE9B-7A1DC0E4201C}"/>
  <bookViews>
    <workbookView xWindow="-120" yWindow="-120" windowWidth="20730" windowHeight="1104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72" i="1" l="1"/>
  <c r="I871" i="1"/>
  <c r="I869" i="1"/>
  <c r="I870" i="1"/>
  <c r="O868" i="1"/>
  <c r="O869" i="1"/>
  <c r="I868" i="1"/>
  <c r="I866" i="1"/>
  <c r="I867" i="1"/>
  <c r="O866" i="1"/>
  <c r="O867" i="1"/>
  <c r="I864" i="1"/>
  <c r="I865" i="1"/>
  <c r="I863" i="1"/>
  <c r="O862" i="1"/>
  <c r="O863" i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14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O778" i="1"/>
  <c r="I778" i="1" s="1"/>
  <c r="I787" i="1"/>
  <c r="I77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O764" i="1"/>
  <c r="I764" i="1" s="1"/>
  <c r="I763" i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<sst xmlns="http://schemas.openxmlformats.org/spreadsheetml/2006/main" count="11011" uniqueCount="3187">
  <si>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</si>
  <si>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</si>
  <si>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</si>
  <si>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</si>
  <si>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</si>
  <si>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</si>
  <si>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</si>
  <si>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</si>
  <si>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</si>
  <si>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</si>
  <si>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</si>
  <si>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</si>
  <si>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</si>
  <si>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</si>
  <si>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</si>
  <si>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</si>
  <si>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</si>
  <si>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</si>
  <si>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</si>
  <si>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</si>
  <si>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</si>
  <si>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</si>
  <si>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</si>
  <si>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</si>
  <si>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</si>
  <si>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</si>
  <si>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</si>
  <si>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</si>
  <si>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</si>
  <si>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</si>
  <si>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</si>
  <si>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</si>
  <si>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</si>
  <si>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</si>
  <si>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</si>
  <si>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</si>
  <si>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</si>
  <si>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</si>
  <si>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</si>
  <si>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</si>
  <si>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</si>
  <si>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</si>
  <si>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</si>
  <si>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</si>
  <si>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</si>
  <si>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</si>
  <si>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</si>
  <si>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</si>
  <si>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</si>
  <si>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</si>
  <si>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</si>
  <si>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</si>
  <si>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</si>
  <si>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</si>
  <si>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</si>
  <si>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</si>
  <si>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</si>
  <si>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</si>
  <si>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</si>
  <si>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</si>
  <si>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</si>
  <si>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</si>
  <si>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</si>
  <si>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</si>
  <si>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</si>
  <si>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</si>
  <si>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</si>
  <si>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</si>
  <si>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</si>
  <si>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</si>
  <si>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</si>
  <si>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</si>
  <si>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</si>
  <si>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</si>
  <si>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</si>
  <si>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</si>
  <si>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</si>
  <si>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</si>
  <si>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</si>
  <si>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</si>
  <si>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</si>
  <si>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</si>
  <si>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</si>
  <si>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</si>
  <si>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</si>
  <si>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</si>
  <si>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</si>
  <si>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</si>
  <si>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</si>
  <si>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</si>
  <si>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</si>
  <si>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</si>
  <si>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</si>
  <si>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</si>
  <si>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</si>
  <si>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</si>
  <si>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</si>
  <si>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</si>
  <si>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</si>
  <si>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</si>
  <si>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</si>
  <si>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</si>
  <si>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</si>
  <si>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</si>
  <si>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</si>
  <si>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</si>
  <si>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</si>
  <si>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</si>
  <si>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</si>
  <si>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</si>
  <si>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</si>
  <si>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</si>
  <si>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</si>
  <si>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</si>
  <si>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</si>
  <si>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</si>
  <si>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</si>
  <si>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</si>
  <si>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</si>
  <si>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</si>
  <si>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</si>
  <si>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</si>
  <si>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</si>
  <si>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</si>
  <si>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</si>
  <si>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</si>
  <si>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</si>
  <si>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</si>
  <si>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</si>
  <si>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</si>
  <si>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</si>
  <si>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</si>
  <si>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</si>
  <si>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</si>
  <si>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</si>
  <si>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</si>
  <si>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</si>
  <si>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</si>
  <si>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</si>
  <si>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</si>
  <si>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</si>
  <si>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</si>
  <si>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</si>
  <si>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</si>
  <si>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</si>
  <si>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</si>
  <si>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</si>
  <si>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</si>
  <si>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</si>
  <si>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</si>
  <si>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</si>
  <si>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</si>
  <si>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</si>
  <si>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</si>
  <si>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</si>
  <si>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</si>
  <si>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</si>
  <si>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</si>
  <si>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</si>
  <si>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</si>
  <si>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</si>
  <si>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</si>
  <si>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</si>
  <si>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</si>
  <si>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</si>
  <si>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</si>
  <si>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</si>
  <si>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</si>
  <si>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</si>
  <si>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</si>
  <si>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</si>
  <si>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</si>
  <si>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</si>
  <si>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</si>
  <si>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</si>
  <si>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</si>
  <si>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</si>
  <si>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</si>
  <si>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</si>
  <si>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</si>
  <si>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</si>
  <si>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</si>
  <si>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</si>
  <si>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</si>
  <si>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</si>
  <si>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</si>
  <si>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</si>
  <si>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</si>
  <si>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</si>
  <si>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</si>
  <si>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</si>
  <si>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</si>
  <si>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</si>
  <si>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</si>
  <si>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</si>
  <si>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</si>
  <si>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</si>
  <si>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</si>
  <si>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</si>
  <si>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</si>
  <si>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</si>
  <si>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</si>
  <si>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</si>
  <si>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</si>
  <si>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</si>
  <si>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</si>
  <si>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</si>
  <si>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</si>
  <si>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</si>
  <si>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</si>
  <si>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</si>
  <si>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</si>
  <si>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</si>
  <si>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</si>
  <si>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</si>
  <si>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</si>
  <si>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</si>
  <si>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</si>
  <si>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</si>
  <si>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</si>
  <si>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</si>
  <si>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</si>
  <si>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</si>
  <si>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</si>
  <si>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</si>
  <si>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</si>
  <si>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</si>
  <si>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</si>
  <si>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</si>
  <si>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</si>
  <si>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</si>
  <si>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</si>
  <si>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</si>
  <si>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</si>
  <si>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</si>
  <si>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</si>
  <si>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</si>
  <si>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</si>
  <si>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</si>
  <si>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</si>
  <si>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</si>
  <si>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</si>
  <si>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</si>
  <si>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</si>
  <si>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</si>
  <si>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</si>
  <si>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</si>
  <si>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</si>
  <si>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</si>
  <si>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</si>
  <si>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</si>
  <si>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</si>
  <si>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</si>
  <si>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</si>
  <si>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</si>
  <si>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</si>
  <si>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</si>
  <si>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</si>
  <si>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</si>
  <si>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</si>
  <si>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</si>
  <si>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</si>
  <si>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</si>
  <si>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</si>
  <si>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</si>
  <si>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</si>
  <si>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</si>
  <si>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</si>
  <si>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</si>
  <si>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</si>
  <si>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</si>
  <si>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</si>
  <si>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</si>
  <si>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</si>
  <si>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</si>
  <si>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</si>
  <si>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</si>
  <si>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</si>
  <si>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</si>
  <si>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</si>
  <si>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</si>
  <si>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</si>
  <si>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</si>
  <si>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</si>
  <si>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</si>
  <si>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</si>
  <si>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</si>
  <si>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</si>
  <si>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</si>
  <si>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</si>
  <si>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</si>
  <si>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</si>
  <si>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</si>
  <si>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</si>
  <si>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</si>
  <si>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</si>
  <si>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</si>
  <si>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</si>
  <si>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</si>
  <si>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</si>
  <si>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</si>
  <si>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</si>
  <si>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</si>
  <si>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</si>
  <si>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</si>
  <si>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</si>
  <si>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</si>
  <si>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</si>
  <si>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</si>
  <si>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</si>
  <si>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</si>
  <si>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</si>
  <si>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</si>
  <si>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</si>
  <si>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</si>
  <si>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</si>
  <si>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</si>
  <si>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</si>
  <si>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</si>
  <si>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</si>
  <si>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</si>
  <si>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</si>
  <si>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</si>
  <si>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</si>
  <si>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</si>
  <si>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</si>
  <si>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</si>
  <si>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</si>
  <si>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</si>
  <si>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</si>
  <si>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</si>
  <si>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</si>
  <si>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</si>
  <si>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</si>
  <si>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</si>
  <si>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</si>
  <si>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</si>
  <si>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</si>
  <si>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</si>
  <si>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</si>
  <si>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</si>
  <si>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</si>
  <si>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</si>
  <si>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</si>
  <si>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</si>
  <si>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</si>
  <si>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</si>
  <si>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</si>
  <si>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</si>
  <si>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</si>
  <si>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</si>
  <si>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</si>
  <si>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</si>
  <si>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</si>
  <si>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</si>
  <si>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</si>
  <si>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</si>
  <si>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</si>
  <si>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</si>
  <si>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</si>
  <si>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</si>
  <si>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</si>
  <si>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</si>
  <si>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</si>
  <si>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</si>
  <si>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</si>
  <si>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</si>
  <si>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</si>
  <si>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</si>
  <si>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</si>
  <si>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</si>
  <si>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</si>
  <si>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</si>
  <si>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</si>
  <si>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</si>
  <si>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</si>
  <si>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</si>
  <si>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</si>
  <si>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</si>
  <si>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</si>
  <si>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</si>
  <si>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</si>
  <si>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</si>
  <si>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</si>
  <si>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</si>
  <si>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</si>
  <si>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</si>
  <si>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</si>
  <si>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</si>
  <si>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</si>
  <si>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</si>
  <si>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</si>
  <si>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</si>
  <si>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</si>
  <si>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</si>
  <si>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</si>
  <si>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</si>
  <si>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</si>
  <si>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</si>
  <si>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</si>
  <si>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</si>
  <si>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</si>
  <si>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</si>
  <si>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</si>
  <si>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</si>
  <si>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</si>
  <si>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</si>
  <si>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</si>
  <si>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</si>
  <si>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</si>
  <si>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</si>
  <si>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</si>
  <si>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</si>
  <si>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</si>
  <si>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</si>
  <si>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</si>
  <si>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</si>
  <si>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</si>
  <si>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</si>
  <si>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</si>
  <si>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</si>
  <si>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</si>
  <si>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</si>
  <si>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</si>
  <si>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</si>
  <si>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</si>
  <si>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</si>
  <si>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</si>
  <si>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</si>
  <si>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</si>
  <si>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</si>
  <si>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</si>
  <si>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</si>
  <si>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</si>
  <si>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</si>
  <si>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</si>
  <si>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</si>
  <si>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</si>
  <si>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</si>
  <si>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</si>
  <si>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</si>
  <si>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</si>
  <si>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</si>
  <si>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</si>
  <si>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</si>
  <si>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</si>
  <si>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</si>
  <si>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</si>
  <si>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</si>
  <si>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</si>
  <si>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</si>
  <si>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</si>
  <si>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</si>
  <si>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</si>
  <si>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</si>
  <si>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</si>
  <si>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</si>
  <si>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</si>
  <si>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</si>
  <si>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</si>
  <si>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</si>
  <si>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</si>
  <si>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</si>
  <si>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</si>
  <si>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</si>
  <si>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</si>
  <si>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</si>
  <si>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</si>
  <si>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</si>
  <si>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</si>
  <si>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</si>
  <si>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</si>
  <si>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</si>
  <si>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</si>
  <si>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</si>
  <si>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</si>
  <si>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</si>
  <si>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</si>
  <si>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</si>
  <si>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</si>
  <si>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</si>
  <si>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</si>
  <si>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</si>
  <si>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</si>
  <si>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</si>
  <si>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</si>
  <si>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</si>
  <si>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</si>
  <si>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</si>
  <si>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</si>
  <si>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</si>
  <si>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</si>
  <si>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</si>
  <si>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</si>
  <si>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</si>
  <si>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</si>
  <si>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</si>
  <si>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</si>
  <si>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</si>
  <si>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</si>
  <si>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</si>
  <si>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</si>
  <si>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</si>
  <si>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</si>
  <si>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</si>
  <si>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</si>
  <si>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</si>
  <si>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</si>
  <si>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</si>
  <si>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</si>
  <si>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</si>
  <si>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</si>
  <si>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</si>
  <si>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</si>
  <si>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</si>
  <si>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</si>
  <si>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</si>
  <si>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</si>
  <si>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</si>
  <si>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</si>
  <si>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</si>
  <si>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</si>
  <si>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</si>
  <si>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</si>
  <si>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</si>
  <si>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</si>
  <si>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</si>
  <si>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</si>
  <si>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</si>
  <si>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</si>
  <si>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</si>
  <si>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</si>
  <si>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</si>
  <si>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</si>
  <si>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</si>
  <si>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</si>
  <si>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</si>
  <si>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</si>
  <si>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</si>
  <si>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</si>
  <si>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</si>
  <si>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</si>
  <si>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</si>
  <si>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</si>
  <si>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</si>
  <si>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</si>
  <si>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</si>
  <si>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</si>
  <si>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</si>
  <si>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</si>
  <si>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</si>
  <si>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</si>
  <si>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</si>
  <si>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</si>
  <si>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</si>
  <si>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</si>
  <si>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</si>
  <si>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</si>
  <si>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</si>
  <si>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</si>
  <si>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</si>
  <si>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</si>
  <si>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</si>
  <si>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</si>
  <si>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</si>
  <si>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</si>
  <si>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</si>
  <si>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</si>
  <si>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</si>
  <si>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</si>
  <si>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</si>
  <si>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</si>
  <si>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</si>
  <si>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</si>
  <si>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</si>
  <si>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</si>
  <si>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</si>
  <si>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</si>
  <si>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</si>
  <si>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</si>
  <si>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</si>
  <si>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</si>
  <si>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</si>
  <si>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</si>
  <si>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</si>
  <si>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</si>
  <si>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</si>
  <si>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</si>
  <si>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</si>
  <si>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</si>
  <si>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</si>
  <si>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</si>
  <si>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</si>
  <si>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</si>
  <si>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</si>
  <si>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</si>
  <si>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</si>
  <si>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</si>
  <si>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</si>
  <si>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</si>
  <si>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</si>
  <si>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</si>
  <si>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</si>
  <si>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</si>
  <si>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</si>
  <si>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</si>
  <si>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</si>
  <si>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</si>
  <si>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</si>
  <si>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</si>
  <si>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</si>
  <si>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</si>
  <si>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</si>
  <si>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</si>
  <si>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</si>
  <si>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</si>
  <si>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</si>
  <si>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</si>
  <si>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</si>
  <si>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</si>
  <si>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</si>
  <si>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</si>
  <si>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</si>
  <si>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</si>
  <si>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</si>
  <si>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</si>
  <si>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</si>
  <si>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</si>
  <si>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</si>
  <si>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</si>
  <si>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</si>
  <si>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</si>
  <si>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</si>
  <si>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</si>
  <si>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</si>
  <si>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</si>
  <si>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</si>
  <si>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</si>
  <si>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</si>
  <si>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</si>
  <si>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</si>
  <si>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</si>
  <si>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</si>
  <si>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</si>
  <si>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</si>
  <si>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</si>
  <si>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</si>
  <si>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</si>
  <si>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</si>
  <si>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</si>
  <si>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</si>
  <si>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</si>
  <si>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</si>
  <si>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</si>
  <si>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</si>
  <si>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</si>
  <si>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</si>
  <si>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</si>
  <si>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</si>
  <si>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</si>
  <si>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</si>
  <si>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</si>
  <si>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</si>
  <si>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</si>
  <si>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</si>
  <si>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</si>
  <si>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</si>
  <si>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</si>
  <si>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</si>
  <si>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</si>
  <si>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</si>
  <si>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</si>
  <si>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</si>
  <si>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</si>
  <si>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</si>
  <si>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</si>
  <si>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</si>
  <si>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</si>
  <si>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</si>
  <si>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</si>
  <si>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</si>
  <si>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</si>
  <si>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</si>
  <si>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</si>
  <si>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</si>
  <si>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</si>
  <si>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</si>
  <si>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</si>
  <si>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</si>
  <si>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</si>
  <si>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</si>
  <si>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</si>
  <si>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</si>
  <si>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</si>
  <si>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</si>
  <si>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</si>
  <si>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</si>
  <si>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</si>
  <si>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</si>
  <si>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</si>
  <si>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</si>
  <si>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</si>
  <si>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</si>
  <si>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</si>
  <si>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</si>
  <si>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</si>
  <si>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</si>
  <si>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</si>
  <si>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</si>
  <si>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</si>
  <si>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</si>
  <si>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</si>
  <si>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</si>
  <si>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</si>
  <si>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</si>
  <si>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</si>
  <si>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</si>
  <si>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</si>
  <si>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</si>
  <si>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</si>
  <si>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</si>
  <si>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</si>
  <si>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</si>
  <si>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</si>
  <si>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</si>
  <si>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</si>
  <si>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</si>
  <si>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</si>
  <si>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</si>
  <si>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</si>
  <si>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</si>
  <si>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</si>
  <si>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</si>
  <si>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</si>
  <si>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</si>
  <si>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</si>
  <si>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</si>
  <si>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</si>
  <si>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</si>
  <si>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</si>
  <si>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</si>
  <si>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</si>
  <si>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</si>
  <si>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</si>
  <si>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</si>
  <si>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</si>
  <si>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</si>
  <si>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</si>
  <si>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</si>
  <si>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</si>
  <si>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</si>
  <si>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</si>
  <si>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</si>
  <si>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</si>
  <si>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</si>
  <si>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</si>
  <si>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</si>
  <si>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</si>
  <si>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</si>
  <si>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</si>
  <si>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</si>
  <si>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</si>
  <si>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</si>
  <si>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</si>
  <si>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</si>
  <si>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</si>
  <si>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</si>
  <si>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</si>
  <si>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</si>
  <si>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</si>
  <si>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</si>
  <si>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</si>
  <si>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</si>
  <si>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</si>
  <si>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</si>
  <si>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</si>
  <si>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</si>
  <si>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</si>
  <si>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</si>
  <si>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</si>
  <si>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</si>
  <si>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</si>
  <si>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</si>
  <si>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</si>
  <si>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</si>
  <si>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</si>
  <si>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</si>
  <si>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</si>
  <si>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</si>
  <si>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</si>
  <si>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</si>
  <si>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</si>
  <si>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</si>
  <si>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</si>
  <si>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</si>
  <si>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</si>
  <si>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</si>
  <si>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</si>
  <si>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</si>
  <si>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</si>
  <si>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</si>
  <si>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</si>
  <si>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</si>
  <si>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</si>
  <si>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</si>
  <si>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</si>
  <si>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</si>
  <si>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</si>
  <si>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</si>
  <si>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</si>
  <si>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</si>
  <si>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</si>
  <si>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</si>
  <si>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</si>
  <si>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</si>
  <si>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</si>
  <si>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</si>
  <si>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</si>
  <si>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</si>
  <si>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</si>
  <si>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</si>
  <si>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</si>
  <si>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</si>
  <si>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</si>
  <si>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</si>
  <si>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</si>
  <si>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</si>
  <si>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</si>
  <si>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</si>
  <si>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</si>
  <si>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</si>
  <si>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</si>
  <si>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</si>
  <si>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</si>
  <si>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</si>
  <si>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</si>
  <si>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</si>
  <si>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</si>
  <si>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</si>
  <si>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</si>
  <si>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</si>
  <si>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</si>
  <si>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</si>
  <si>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</si>
  <si>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</si>
  <si>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</si>
  <si>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</si>
  <si>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</si>
  <si>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</si>
  <si>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</si>
  <si>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</si>
  <si>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</si>
  <si>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</si>
  <si>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</si>
  <si>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</si>
  <si>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</si>
  <si>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</si>
  <si>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</si>
  <si>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</si>
  <si>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</si>
  <si>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</si>
  <si>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</si>
  <si>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</si>
  <si>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</si>
  <si>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</si>
  <si>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</si>
  <si>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</si>
  <si>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</si>
  <si>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</si>
  <si>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</si>
  <si>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</si>
  <si>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</si>
  <si>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</si>
  <si>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</si>
  <si>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</si>
  <si>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</si>
  <si>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</si>
  <si>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</si>
  <si>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</si>
  <si>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</si>
  <si>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</si>
  <si>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</si>
  <si>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</si>
  <si>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</si>
  <si>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</si>
  <si>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</si>
  <si>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</si>
  <si>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</si>
  <si>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</si>
  <si>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</si>
  <si>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</si>
  <si>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</si>
  <si>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</si>
  <si>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</si>
  <si>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</si>
  <si>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</si>
  <si>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</si>
  <si>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</si>
  <si>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</si>
  <si>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</si>
  <si>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</si>
  <si>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</si>
  <si>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</si>
  <si>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</si>
  <si>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</si>
  <si>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</si>
  <si>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</si>
  <si>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</si>
  <si>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</si>
  <si>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</si>
  <si>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</si>
  <si>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</si>
  <si>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</si>
  <si>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</si>
  <si>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</si>
  <si>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</si>
  <si>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</si>
  <si>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</si>
  <si>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</si>
  <si>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</si>
  <si>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</si>
  <si>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</si>
  <si>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</si>
  <si>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</si>
  <si>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</si>
  <si>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</si>
  <si>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</si>
  <si>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</si>
  <si>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</si>
  <si>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</si>
  <si>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</si>
  <si>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</si>
  <si>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</si>
  <si>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</si>
  <si>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</si>
  <si>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</si>
  <si>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</si>
  <si>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</si>
  <si>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</si>
  <si>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</si>
  <si>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</si>
  <si>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</si>
  <si>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</si>
  <si>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</si>
  <si>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</si>
  <si>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</si>
  <si>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</si>
  <si>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</si>
  <si>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</si>
  <si>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</si>
  <si>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</si>
  <si>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</si>
  <si>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</si>
  <si>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</si>
  <si>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</si>
  <si>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</si>
  <si>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</si>
  <si>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</si>
  <si>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</si>
  <si>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</si>
  <si>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</si>
  <si>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</si>
  <si>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</si>
  <si>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</si>
  <si>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</si>
  <si>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</si>
  <si>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</si>
  <si>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</si>
  <si>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</si>
  <si>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</si>
  <si>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</si>
  <si>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</si>
  <si>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</si>
  <si>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</si>
  <si>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</si>
  <si>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</si>
  <si>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</si>
  <si>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</si>
  <si>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</si>
  <si>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</si>
  <si>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</si>
  <si>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</si>
  <si>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</si>
  <si>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</si>
  <si>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</si>
  <si>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</si>
  <si>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</si>
  <si>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</si>
  <si>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</si>
  <si>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</si>
  <si>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</si>
  <si>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</si>
  <si>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</si>
  <si>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</si>
  <si>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</si>
  <si>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</si>
  <si>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</si>
  <si>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</si>
  <si>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</si>
  <si>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</si>
  <si>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</si>
  <si>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</si>
  <si>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</si>
  <si>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</si>
  <si>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</si>
  <si>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</si>
  <si>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</si>
  <si>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</si>
  <si>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</si>
  <si>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</si>
  <si>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</si>
  <si>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</si>
  <si>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</si>
  <si>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</si>
  <si>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</si>
  <si>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</si>
  <si>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</si>
  <si>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</si>
  <si>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</si>
  <si>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</si>
  <si>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</si>
  <si>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</si>
  <si>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</si>
  <si>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</si>
  <si>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</si>
  <si>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</si>
  <si>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</si>
  <si>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</si>
  <si>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</si>
  <si>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</si>
  <si>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</si>
  <si>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</si>
  <si>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</si>
  <si>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</si>
  <si>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</si>
  <si>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</si>
  <si>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</si>
  <si>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</si>
  <si>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</si>
  <si>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</si>
  <si>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</si>
  <si>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</si>
  <si>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</si>
  <si>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</si>
  <si>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</si>
  <si>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</si>
  <si>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</si>
  <si>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</si>
  <si>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</si>
  <si>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</si>
  <si>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</si>
  <si>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</si>
  <si>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</si>
  <si>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</si>
  <si>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</si>
  <si>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</si>
  <si>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</si>
  <si>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</si>
  <si>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</si>
  <si>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</si>
  <si>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</si>
  <si>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</si>
  <si>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</si>
  <si>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</si>
  <si>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</si>
  <si>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</si>
  <si>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</si>
  <si>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</si>
  <si>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</si>
  <si>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</si>
  <si>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</si>
  <si>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</si>
  <si>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</si>
  <si>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</si>
  <si>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</si>
  <si>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</si>
  <si>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</si>
  <si>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</si>
  <si>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</si>
  <si>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</si>
  <si>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</si>
  <si>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</si>
  <si>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</si>
  <si>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</si>
  <si>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</si>
  <si>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</si>
  <si>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</si>
  <si>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</si>
  <si>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</si>
  <si>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</si>
  <si>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</si>
  <si>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</si>
  <si>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</si>
  <si>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</si>
  <si>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</si>
  <si>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</si>
  <si>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</si>
  <si>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</si>
  <si>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</si>
  <si>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</si>
  <si>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</si>
  <si>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</si>
  <si>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</si>
  <si>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</si>
  <si>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</si>
  <si>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</si>
  <si>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</si>
  <si>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</si>
  <si>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</si>
  <si>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</si>
  <si>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</si>
  <si>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</si>
  <si>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</si>
  <si>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</si>
  <si>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</si>
  <si>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</si>
  <si>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</si>
  <si>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</si>
  <si>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</si>
  <si>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</si>
  <si>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</si>
  <si>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</si>
  <si>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</si>
  <si>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</si>
  <si>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</si>
  <si>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</si>
  <si>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</si>
  <si>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</si>
  <si>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</si>
  <si>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</si>
  <si>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</si>
  <si>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</si>
  <si>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</si>
  <si>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</si>
  <si>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</si>
  <si>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</si>
  <si>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</si>
  <si>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</si>
  <si>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</si>
  <si>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</si>
  <si>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</si>
  <si>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</si>
  <si>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</si>
  <si>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</si>
  <si>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</si>
  <si>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</si>
  <si>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</si>
  <si>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</si>
  <si>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</si>
  <si>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</si>
  <si>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</si>
  <si>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</si>
  <si>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</si>
  <si>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</si>
  <si>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</si>
  <si>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</si>
  <si>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</si>
  <si>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</si>
  <si>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</si>
  <si>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</si>
  <si>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</si>
  <si>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</si>
  <si>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</si>
  <si>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</si>
  <si>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</si>
  <si>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</si>
  <si>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</si>
  <si>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</si>
  <si>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</si>
  <si>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</si>
  <si>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</si>
  <si>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</si>
  <si>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</si>
  <si>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</si>
  <si>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</si>
  <si>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</si>
  <si>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</si>
  <si>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</si>
  <si>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</si>
  <si>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</si>
  <si>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</si>
  <si>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</si>
  <si>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</si>
  <si>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</si>
  <si>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</si>
  <si>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</si>
  <si>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</si>
  <si>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</si>
  <si>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</si>
  <si>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</si>
  <si>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</si>
  <si>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</si>
  <si>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</si>
  <si>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</si>
  <si>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</si>
  <si>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</si>
  <si>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</si>
  <si>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</si>
  <si>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</si>
  <si>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</si>
  <si>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</si>
  <si>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</si>
  <si>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</si>
  <si>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</si>
  <si>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</si>
  <si>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</si>
  <si>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</si>
  <si>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</si>
  <si>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</si>
  <si>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</si>
  <si>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</si>
  <si>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</si>
  <si>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</si>
  <si>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</si>
  <si>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</si>
  <si>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</si>
  <si>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</si>
  <si>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</si>
  <si>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</si>
  <si>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</si>
  <si>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</si>
  <si>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</si>
  <si>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</si>
  <si>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</si>
  <si>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</si>
  <si>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</si>
  <si>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</si>
  <si>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</si>
  <si>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</si>
  <si>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</si>
  <si>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</si>
  <si>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</si>
  <si>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</si>
  <si>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</si>
  <si>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</si>
  <si>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</si>
  <si>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</si>
  <si>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</si>
  <si>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</si>
  <si>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</si>
  <si>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</si>
  <si>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</si>
  <si>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</si>
  <si>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</si>
  <si>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</si>
  <si>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</si>
  <si>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</si>
  <si>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</si>
  <si>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</si>
  <si>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</si>
  <si>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</si>
  <si>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</si>
  <si>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</si>
  <si>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</si>
  <si>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</si>
  <si>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</si>
  <si>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</si>
  <si>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</si>
  <si>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</si>
  <si>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</si>
  <si>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</si>
  <si>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</si>
  <si>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</si>
  <si>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</si>
  <si>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</si>
  <si>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</si>
  <si>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</si>
  <si>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</si>
  <si>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</si>
  <si>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</si>
  <si>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</si>
  <si>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</si>
  <si>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</si>
  <si>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</si>
  <si>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</si>
  <si>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</si>
  <si>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</si>
  <si>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</si>
  <si>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</si>
  <si>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</si>
  <si>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</si>
  <si>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</si>
  <si>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</si>
  <si>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</si>
  <si>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</si>
  <si>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</si>
  <si>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</si>
  <si>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</si>
  <si>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</si>
  <si>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</si>
  <si>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</si>
  <si>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</si>
  <si>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</si>
  <si>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</si>
  <si>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</si>
  <si>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</si>
  <si>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</si>
  <si>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</si>
  <si>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</si>
  <si>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</si>
  <si>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</si>
  <si>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</si>
  <si>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</si>
  <si>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</si>
  <si>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</si>
  <si>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</si>
  <si>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</si>
  <si>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</si>
  <si>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</si>
  <si>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</si>
  <si>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</si>
  <si>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</si>
  <si>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</si>
  <si>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</si>
  <si>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</si>
  <si>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</si>
  <si>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</si>
  <si>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</si>
  <si>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</si>
  <si>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</si>
  <si>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</si>
  <si>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</si>
  <si>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</si>
  <si>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</si>
  <si>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</si>
  <si>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</si>
  <si>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</si>
  <si>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</si>
  <si>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</si>
  <si>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</si>
  <si>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</si>
  <si>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</si>
  <si>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</si>
  <si>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</si>
  <si>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</si>
  <si>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</si>
  <si>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</si>
  <si>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</si>
  <si>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</si>
  <si>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</si>
  <si>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</si>
  <si>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</si>
  <si>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</si>
  <si>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</si>
  <si>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</si>
  <si>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</si>
  <si>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</si>
  <si>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</si>
  <si>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</si>
  <si>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</si>
  <si>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</si>
  <si>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</si>
  <si>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</si>
  <si>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</si>
  <si>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</si>
  <si>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</si>
  <si>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</si>
  <si>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</si>
  <si>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</si>
  <si>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</si>
  <si>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</si>
  <si>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</si>
  <si>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</si>
  <si>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</si>
  <si>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</si>
  <si>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</si>
  <si>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</si>
  <si>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</si>
  <si>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</si>
  <si>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</si>
  <si>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</si>
  <si>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</si>
  <si>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</si>
  <si>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</si>
  <si>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</si>
  <si>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</si>
  <si>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</si>
  <si>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</si>
  <si>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</si>
  <si>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</si>
  <si>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</si>
  <si>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</si>
  <si>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</si>
  <si>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</si>
  <si>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</si>
  <si>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</si>
  <si>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</si>
  <si>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</si>
  <si>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</si>
  <si>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</si>
  <si>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</si>
  <si>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</si>
  <si>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</si>
  <si>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</si>
  <si>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</si>
  <si>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</si>
  <si>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</si>
  <si>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</si>
  <si>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</si>
  <si>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</si>
  <si>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</si>
  <si>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</si>
  <si>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</si>
  <si>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</si>
  <si>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</si>
  <si>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</si>
  <si>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</si>
  <si>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</si>
  <si>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</si>
  <si>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</si>
  <si>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</si>
  <si>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</si>
  <si>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</si>
  <si>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</si>
  <si>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</si>
  <si>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</si>
  <si>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</si>
  <si>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</si>
  <si>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</si>
  <si>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</si>
  <si>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</si>
  <si>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</si>
  <si>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</si>
  <si>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</si>
  <si>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</si>
  <si>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</si>
  <si>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</si>
  <si>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</si>
  <si>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</si>
  <si>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</si>
  <si>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</si>
  <si>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</si>
  <si>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</si>
  <si>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</si>
  <si>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</si>
  <si>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</si>
  <si>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</si>
  <si>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</si>
  <si>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</si>
  <si>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</si>
  <si>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</si>
  <si>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</si>
  <si>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</si>
  <si>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</si>
  <si>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</si>
  <si>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</si>
  <si>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</si>
  <si>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</si>
  <si>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</si>
  <si>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</si>
  <si>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</si>
  <si>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</si>
  <si>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</si>
  <si>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</si>
  <si>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</si>
  <si>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</si>
  <si>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</si>
  <si>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</si>
  <si>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</si>
  <si>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</si>
  <si>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</si>
  <si>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</si>
  <si>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</si>
  <si>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</si>
  <si>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</si>
  <si>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</si>
  <si>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</si>
  <si>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</si>
  <si>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</si>
  <si>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</si>
  <si>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</si>
  <si>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</si>
  <si>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</si>
  <si>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</si>
  <si>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</si>
  <si>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</si>
  <si>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</si>
  <si>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</si>
  <si>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</si>
  <si>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</si>
  <si>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</si>
  <si>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</si>
  <si>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</si>
  <si>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</si>
  <si>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</si>
  <si>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</si>
  <si>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</si>
  <si>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</si>
  <si>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</si>
  <si>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</si>
  <si>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</si>
  <si>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</si>
  <si>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</si>
  <si>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</si>
  <si>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</si>
  <si>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</si>
  <si>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</si>
  <si>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</si>
  <si>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</si>
  <si>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</si>
  <si>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</si>
  <si>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</si>
  <si>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</si>
  <si>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</si>
  <si>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</si>
  <si>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</si>
  <si>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</si>
  <si>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</si>
  <si>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</si>
  <si>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</si>
  <si>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</si>
  <si>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</si>
  <si>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</si>
  <si>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</si>
  <si>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</si>
  <si>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</si>
  <si>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</si>
  <si>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</si>
  <si>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</si>
  <si>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</si>
  <si>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</si>
  <si>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</si>
  <si>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</si>
  <si>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</si>
  <si>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</si>
  <si>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</si>
  <si>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</si>
  <si>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</si>
  <si>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</si>
  <si>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</si>
  <si>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</si>
  <si>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</si>
  <si>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</si>
  <si>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</si>
  <si>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</si>
  <si>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</si>
  <si>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</si>
  <si>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</si>
  <si>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</si>
  <si>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</si>
  <si>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</si>
  <si>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</si>
  <si>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</si>
  <si>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</si>
  <si>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</si>
  <si>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</si>
  <si>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</si>
  <si>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</si>
  <si>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</si>
  <si>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</si>
  <si>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</si>
  <si>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</si>
  <si>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</si>
  <si>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</si>
  <si>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</si>
  <si>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</si>
  <si>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</si>
  <si>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</si>
  <si>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</si>
  <si>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</si>
  <si>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</si>
  <si>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</si>
  <si>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</si>
  <si>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</si>
  <si>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</si>
  <si>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</si>
  <si>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</si>
  <si>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</si>
  <si>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</si>
  <si>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</si>
  <si>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</si>
  <si>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</si>
  <si>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</si>
  <si>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</si>
  <si>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</si>
  <si>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</si>
  <si>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</si>
  <si>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</si>
  <si>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</si>
  <si>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</si>
  <si>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</si>
  <si>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</si>
  <si>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</si>
  <si>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</si>
  <si>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</si>
  <si>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</si>
  <si>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</si>
  <si>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</si>
  <si>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</si>
  <si>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</si>
  <si>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</si>
  <si>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</si>
  <si>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</si>
  <si>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</si>
  <si>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</si>
  <si>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</si>
  <si>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</si>
  <si>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</si>
  <si>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</si>
  <si>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</si>
  <si>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</si>
  <si>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</si>
  <si>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</si>
  <si>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</si>
  <si>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</si>
  <si>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</si>
  <si>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</si>
  <si>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</si>
  <si>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</si>
  <si>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</si>
  <si>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</si>
  <si>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</si>
  <si>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</si>
  <si>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</si>
  <si>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</si>
  <si>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</si>
  <si>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</si>
  <si>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</si>
  <si>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</si>
  <si>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</si>
  <si>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</si>
  <si>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</si>
  <si>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</si>
  <si>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</si>
  <si>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</si>
  <si>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</si>
  <si>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</si>
  <si>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</si>
  <si>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</si>
  <si>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</si>
  <si>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</si>
  <si>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</si>
  <si>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</si>
  <si>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</si>
  <si>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</si>
  <si>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</si>
  <si>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</si>
  <si>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</si>
  <si>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</si>
  <si>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</si>
  <si>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</si>
  <si>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</si>
  <si>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</si>
  <si>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</si>
  <si>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</si>
  <si>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</si>
  <si>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</si>
  <si>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</si>
  <si>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</si>
  <si>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</si>
  <si>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</si>
  <si>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</si>
  <si>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</si>
  <si>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</si>
  <si>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</si>
  <si>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</si>
  <si>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</si>
  <si>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</si>
  <si>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</si>
  <si>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</si>
  <si>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</si>
  <si>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</si>
  <si>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</si>
  <si>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</si>
  <si>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</si>
  <si>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</si>
  <si>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</si>
  <si>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</si>
  <si>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</si>
  <si>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</si>
  <si>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</si>
  <si>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</si>
  <si>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</si>
  <si>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</si>
  <si>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</si>
  <si>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</si>
  <si>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</si>
  <si>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</si>
  <si>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</si>
  <si>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</si>
  <si>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</si>
  <si>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</si>
  <si>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</si>
  <si>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</si>
  <si>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</si>
  <si>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</si>
  <si>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</si>
  <si>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</si>
  <si>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</si>
  <si>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</si>
  <si>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</si>
  <si>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</si>
  <si>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</si>
  <si>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</si>
  <si>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</si>
  <si>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</si>
  <si>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</si>
  <si>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</si>
  <si>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</si>
  <si>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</si>
  <si>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</si>
  <si>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</si>
  <si>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</si>
  <si>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</si>
  <si>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</si>
  <si>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</si>
  <si>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</si>
  <si>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</si>
  <si>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</si>
  <si>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</si>
  <si>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</si>
  <si>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</si>
  <si>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</si>
  <si>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</si>
  <si>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</si>
  <si>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</si>
  <si>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</si>
  <si>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</si>
  <si>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</si>
  <si>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</si>
  <si>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</si>
  <si>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</si>
  <si>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</si>
  <si>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</si>
  <si>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</si>
  <si>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</si>
  <si>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</si>
  <si>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</si>
  <si>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</si>
  <si>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</si>
  <si>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</si>
  <si>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</si>
  <si>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</si>
  <si>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</si>
  <si>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</si>
  <si>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</si>
  <si>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</si>
  <si>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</si>
  <si>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</si>
  <si>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</si>
  <si>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</si>
  <si>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</si>
  <si>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</si>
  <si>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</si>
  <si>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</si>
  <si>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</si>
  <si>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</si>
  <si>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</si>
  <si>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</si>
  <si>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</si>
  <si>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</si>
  <si>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</si>
  <si>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</si>
  <si>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</si>
  <si>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</si>
  <si>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</si>
  <si>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</si>
  <si>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</si>
  <si>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</si>
  <si>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</si>
  <si>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</si>
  <si>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</si>
  <si>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</si>
  <si>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</si>
  <si>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</si>
  <si>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</si>
  <si>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</si>
  <si>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</si>
  <si>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</si>
  <si>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</si>
  <si>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</si>
  <si>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</si>
  <si>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</si>
  <si>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</si>
  <si>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</si>
  <si>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</si>
  <si>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</si>
  <si>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</si>
  <si>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</si>
  <si>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</si>
  <si>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</si>
  <si>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</si>
  <si>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</si>
  <si>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</si>
  <si>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</si>
  <si>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</si>
  <si>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</si>
  <si>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</si>
  <si>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</si>
  <si>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</si>
  <si>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</si>
  <si>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</si>
  <si>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</si>
  <si>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</si>
  <si>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</si>
  <si>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</si>
  <si>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</si>
  <si>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</si>
  <si>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</si>
  <si>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</si>
  <si>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</si>
  <si>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</si>
  <si>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</si>
  <si>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</si>
  <si>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</si>
  <si>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</si>
  <si>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</si>
  <si>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</si>
  <si>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</si>
  <si>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</si>
  <si>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</si>
  <si>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</si>
  <si>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</si>
  <si>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</si>
  <si>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</si>
  <si>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</si>
  <si>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</si>
  <si>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</si>
  <si>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</si>
  <si>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</si>
  <si>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</si>
  <si>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</si>
  <si>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</si>
  <si>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</si>
  <si>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</si>
  <si>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</si>
  <si>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</si>
  <si>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</si>
  <si>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</si>
  <si>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</si>
  <si>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</si>
  <si>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</si>
  <si>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</si>
  <si>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</si>
  <si>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</si>
  <si>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</si>
  <si>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</si>
  <si>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</si>
  <si>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</si>
  <si>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</si>
  <si>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</si>
  <si>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</si>
  <si>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</si>
  <si>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</si>
  <si>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</si>
  <si>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</si>
  <si>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</si>
  <si>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</si>
  <si>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</si>
  <si>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</si>
  <si>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</si>
  <si>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</si>
  <si>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</si>
  <si>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</si>
  <si>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</si>
  <si>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</si>
  <si>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</si>
  <si>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</si>
  <si>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</si>
  <si>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</si>
  <si>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</si>
  <si>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</si>
  <si>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</si>
  <si>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</si>
  <si>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</si>
  <si>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</si>
  <si>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</si>
  <si>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</si>
  <si>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</si>
  <si>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</si>
  <si>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</si>
  <si>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</si>
  <si>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</si>
  <si>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</si>
  <si>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</si>
  <si>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</si>
  <si>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</si>
  <si>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</si>
  <si>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</si>
  <si>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</si>
  <si>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</si>
  <si>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</si>
  <si>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</si>
  <si>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</si>
  <si>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</si>
  <si>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</si>
  <si>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</si>
  <si>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</si>
  <si>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</si>
  <si>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</si>
  <si>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</si>
  <si>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</si>
  <si>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</si>
  <si>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</si>
  <si>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</si>
  <si>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</si>
  <si>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</si>
  <si>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</si>
  <si>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</si>
  <si>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</si>
  <si>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</si>
  <si>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</si>
  <si>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</si>
  <si>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</si>
  <si>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</si>
  <si>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</si>
  <si>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</si>
  <si>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</si>
  <si>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</si>
  <si>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</si>
  <si>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</si>
  <si>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</si>
  <si>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</si>
  <si>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</si>
  <si>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</si>
  <si>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</si>
  <si>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</si>
  <si>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</si>
  <si>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</si>
  <si>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</si>
  <si>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</si>
  <si>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</si>
  <si>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</si>
  <si>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</si>
  <si>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</si>
  <si>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</si>
  <si>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</si>
  <si>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</si>
  <si>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</si>
  <si>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</si>
  <si>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</si>
  <si>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</si>
  <si>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</si>
  <si>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</si>
  <si>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</si>
  <si>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</si>
  <si>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</si>
  <si>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</si>
  <si>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</si>
  <si>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</si>
  <si>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</si>
  <si>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</si>
  <si>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</si>
  <si>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</si>
  <si>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</si>
  <si>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</si>
  <si>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</si>
  <si>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</si>
  <si>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</si>
  <si>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</si>
  <si>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</si>
  <si>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</si>
  <si>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</si>
  <si>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</si>
  <si>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</si>
  <si>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</si>
  <si>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</si>
  <si>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</si>
  <si>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</si>
  <si>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</si>
  <si>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</si>
  <si>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</si>
  <si>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</si>
  <si>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</si>
  <si>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</si>
  <si>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</si>
  <si>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</si>
  <si>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</si>
  <si>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</si>
  <si>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</si>
  <si>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</si>
  <si>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</si>
  <si>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</si>
  <si>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</si>
  <si>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</si>
  <si>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</si>
  <si>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</si>
  <si>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</si>
  <si>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</si>
  <si>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</si>
  <si>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</si>
  <si>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</si>
  <si>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</si>
  <si>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</si>
  <si>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</si>
  <si>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</si>
  <si>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</si>
  <si>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</si>
  <si>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</si>
  <si>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</si>
  <si>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</si>
  <si>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</si>
  <si>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</si>
  <si>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</si>
  <si>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</si>
  <si>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</si>
  <si>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</si>
  <si>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</si>
  <si>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</si>
  <si>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</si>
  <si>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</si>
  <si>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</si>
  <si>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</si>
  <si>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</si>
  <si>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</si>
  <si>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</si>
  <si>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</si>
  <si>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</si>
  <si>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</si>
  <si>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</si>
  <si>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</si>
  <si>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</si>
  <si>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</si>
  <si>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</si>
  <si>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</si>
  <si>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</si>
  <si>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</si>
  <si>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</si>
  <si>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</si>
  <si>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</si>
  <si>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</si>
  <si>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</si>
  <si>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</si>
  <si>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</si>
  <si>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</si>
  <si>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</si>
  <si>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</si>
  <si>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</si>
  <si>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</si>
  <si>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</si>
  <si>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</si>
  <si>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</si>
  <si>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</si>
  <si>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</si>
  <si>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</si>
  <si>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</si>
  <si>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</si>
  <si>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</si>
  <si>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</si>
  <si>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</si>
  <si>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</si>
  <si>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</si>
  <si>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</si>
  <si>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</si>
  <si>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</si>
  <si>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</si>
  <si>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</si>
  <si>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</si>
  <si>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</si>
  <si>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</si>
  <si>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</si>
  <si>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</si>
  <si>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</si>
  <si>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</si>
  <si>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</si>
  <si>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</si>
  <si>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</si>
  <si>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</si>
  <si>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</si>
  <si>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</si>
  <si>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</si>
  <si>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</si>
  <si>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</si>
  <si>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</si>
  <si>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</si>
  <si>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</si>
  <si>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</si>
  <si>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</si>
  <si>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</si>
  <si>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</si>
  <si>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</si>
  <si>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</si>
  <si>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</si>
  <si>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</si>
  <si>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</si>
  <si>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</si>
  <si>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</si>
  <si>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</si>
  <si>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</si>
  <si>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</si>
  <si>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</si>
  <si>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</si>
  <si>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</si>
  <si>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</si>
  <si>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</si>
  <si>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</si>
  <si>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</si>
  <si>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</si>
  <si>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</si>
  <si>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</si>
  <si>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</si>
  <si>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</si>
  <si>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</si>
  <si>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</si>
  <si>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</si>
  <si>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</si>
  <si>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</si>
  <si>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</si>
  <si>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</si>
  <si>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</si>
  <si>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</si>
  <si>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</si>
  <si>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</si>
  <si>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</si>
  <si>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</si>
  <si>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</si>
  <si>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</si>
  <si>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</si>
  <si>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</si>
  <si>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</si>
  <si>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</si>
  <si>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</si>
  <si>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</si>
  <si>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</si>
  <si>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</si>
  <si>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</si>
  <si>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</si>
  <si>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</si>
  <si>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</si>
  <si>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</si>
  <si>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</si>
  <si>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</si>
  <si>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</si>
  <si>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</si>
  <si>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</si>
  <si>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</si>
  <si>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</si>
  <si>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</si>
  <si>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</si>
  <si>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</si>
  <si>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</si>
  <si>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</si>
  <si>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</si>
  <si>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</si>
  <si>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</si>
  <si>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</si>
  <si>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</si>
  <si>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</si>
  <si>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</si>
  <si>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</si>
  <si>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</si>
  <si>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</si>
  <si>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</si>
  <si>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</si>
  <si>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</si>
  <si>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</si>
  <si>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</si>
  <si>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</si>
  <si>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</si>
  <si>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</si>
  <si>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</si>
  <si>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</si>
  <si>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</si>
  <si>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</si>
  <si>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</si>
  <si>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</si>
  <si>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</si>
  <si>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</si>
  <si>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</si>
  <si>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</si>
  <si>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</si>
  <si>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</si>
  <si>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</si>
  <si>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</si>
  <si>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</si>
  <si>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</si>
  <si>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</si>
  <si>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</si>
  <si>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</si>
  <si>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</si>
  <si>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</si>
  <si>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</si>
  <si>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</si>
  <si>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</si>
  <si>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</si>
  <si>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</si>
  <si>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</si>
  <si>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</si>
  <si>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</si>
  <si>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</si>
  <si>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</si>
  <si>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</si>
  <si>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</si>
  <si>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</si>
  <si>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</si>
  <si>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</si>
  <si>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</si>
  <si>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</si>
  <si>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</si>
  <si>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</si>
  <si>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</si>
  <si>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</si>
  <si>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</si>
  <si>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</si>
  <si>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</si>
  <si>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</si>
  <si>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</si>
  <si>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</si>
  <si>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</si>
  <si>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</si>
  <si>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</si>
  <si>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</si>
  <si>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</si>
  <si>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</si>
  <si>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</si>
  <si>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</si>
  <si>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</si>
  <si>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</si>
  <si>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</si>
  <si>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</si>
  <si>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</si>
  <si>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</si>
  <si>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</si>
  <si>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</si>
  <si>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</si>
  <si>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</si>
  <si>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</si>
  <si>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</si>
  <si>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</si>
  <si>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</si>
  <si>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</si>
  <si>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</si>
  <si>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</si>
  <si>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</si>
  <si>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</si>
  <si>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</si>
  <si>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</si>
  <si>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</si>
  <si>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</si>
  <si>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</si>
  <si>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</si>
  <si>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</si>
  <si>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</si>
  <si>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</si>
  <si>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</si>
  <si>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</si>
  <si>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</si>
  <si>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</si>
  <si>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</si>
  <si>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</si>
  <si>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</si>
  <si>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</si>
  <si>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</si>
  <si>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</si>
  <si>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</si>
  <si>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</si>
  <si>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</si>
  <si>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</si>
  <si>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</si>
  <si>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</si>
  <si>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</si>
  <si>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</si>
  <si>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</si>
  <si>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</si>
  <si>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</si>
  <si>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</si>
  <si>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</si>
  <si>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</si>
  <si>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</si>
  <si>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</si>
  <si>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</si>
  <si>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</si>
  <si>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</si>
  <si>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</si>
  <si>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</si>
  <si>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</si>
  <si>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</si>
  <si>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</si>
  <si>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</si>
  <si>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</si>
  <si>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</si>
  <si>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</si>
  <si>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</si>
  <si>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</si>
  <si>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</si>
  <si>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</si>
  <si>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</si>
  <si>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</si>
  <si>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</si>
  <si>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</si>
  <si>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</si>
  <si>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</si>
  <si>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</si>
  <si>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</si>
  <si>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</si>
  <si>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</si>
  <si>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</si>
  <si>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</si>
  <si>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</si>
  <si>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</si>
  <si>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</si>
  <si>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</si>
  <si>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</si>
  <si>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</si>
  <si>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</si>
  <si>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</si>
  <si>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</si>
  <si>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</si>
  <si>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</si>
  <si>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</si>
  <si>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</si>
  <si>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</si>
  <si>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</si>
  <si>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</si>
  <si>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</si>
  <si>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</si>
  <si>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</si>
  <si>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</si>
  <si>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</si>
  <si>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</si>
  <si>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</si>
  <si>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</si>
  <si>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</si>
  <si>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</si>
  <si>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</si>
  <si>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</si>
  <si>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</si>
  <si>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</si>
  <si>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</si>
  <si>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</si>
  <si>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</si>
  <si>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</si>
  <si>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</si>
  <si>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</si>
  <si>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</si>
  <si>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</si>
  <si>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</si>
  <si>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</si>
  <si>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</si>
  <si>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</si>
  <si>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</si>
  <si>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</si>
  <si>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</si>
  <si>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</si>
  <si>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</si>
  <si>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</si>
  <si>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</si>
  <si>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</si>
  <si>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</si>
  <si>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</si>
  <si>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</si>
  <si>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</si>
  <si>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</si>
  <si>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</si>
  <si>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</si>
  <si>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</si>
  <si>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</si>
  <si>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</si>
  <si>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</si>
  <si>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</si>
  <si>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</si>
  <si>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</si>
  <si>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</si>
  <si>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</si>
  <si>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</si>
  <si>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</si>
  <si>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</si>
  <si>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</si>
  <si>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</si>
  <si>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</si>
  <si>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</si>
  <si>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</si>
  <si>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</si>
  <si>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</si>
  <si>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</si>
  <si>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</si>
  <si>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</si>
  <si>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</si>
  <si>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</si>
  <si>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</si>
  <si>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</si>
  <si>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</si>
  <si>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</si>
  <si>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</si>
  <si>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</si>
  <si>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</si>
  <si>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</si>
  <si>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</si>
  <si>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</si>
  <si>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</si>
  <si>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</si>
  <si>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</si>
  <si>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</si>
  <si>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</si>
  <si>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</si>
  <si>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</si>
  <si>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</si>
  <si>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</si>
  <si>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</si>
  <si>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</si>
  <si>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</si>
  <si>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</si>
  <si>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</si>
  <si>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</si>
  <si>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</si>
  <si>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</si>
  <si>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</si>
  <si>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</si>
  <si>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</si>
  <si>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</si>
  <si>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</si>
  <si>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</si>
  <si>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</si>
  <si>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</si>
  <si>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</si>
  <si>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</si>
  <si>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</si>
  <si>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</si>
  <si>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</si>
  <si>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</si>
  <si>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</si>
  <si>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</si>
  <si>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</si>
  <si>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</si>
  <si>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</si>
  <si>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</si>
  <si>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</si>
  <si>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</si>
  <si>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</si>
  <si>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</si>
  <si>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</si>
  <si>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</si>
  <si>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</si>
  <si>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</si>
  <si>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</si>
  <si>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</si>
  <si>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</si>
  <si>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</si>
  <si>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</si>
  <si>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</si>
  <si>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</si>
  <si>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</si>
  <si>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</si>
  <si>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</si>
  <si>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</si>
  <si>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</si>
  <si>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</si>
  <si>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</si>
  <si>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</si>
  <si>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</si>
  <si>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</si>
  <si>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</si>
  <si>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</si>
  <si>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</si>
  <si>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</si>
  <si>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</si>
  <si>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</si>
  <si>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</si>
  <si>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</si>
  <si>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</si>
  <si>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</si>
  <si>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</si>
  <si>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</si>
  <si>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</si>
  <si>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</si>
  <si>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</si>
  <si>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</si>
  <si>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</si>
  <si>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</si>
  <si>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</si>
  <si>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</si>
  <si>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</si>
  <si>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</si>
  <si>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</si>
  <si>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</si>
  <si>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</si>
  <si>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</si>
  <si>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</si>
  <si>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</si>
  <si>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</si>
  <si>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</si>
  <si>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</si>
  <si>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</si>
  <si>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</si>
  <si>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</si>
  <si>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</si>
  <si>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</si>
  <si>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</si>
  <si>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</si>
  <si>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</si>
  <si>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</si>
  <si>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</si>
  <si>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</si>
  <si>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</si>
  <si>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</si>
  <si>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</si>
  <si>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</si>
  <si>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</si>
  <si>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</si>
  <si>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</si>
  <si>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</si>
  <si>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</si>
  <si>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</si>
  <si>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</si>
  <si>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</si>
  <si>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</si>
  <si>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</si>
  <si>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</si>
  <si>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</si>
  <si>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</si>
  <si>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</si>
  <si>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</si>
  <si>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</si>
  <si>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</si>
  <si>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</si>
  <si>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</si>
  <si>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</si>
  <si>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</si>
  <si>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</si>
  <si>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</si>
  <si>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</si>
  <si>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</si>
  <si>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</si>
  <si>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</si>
  <si>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</si>
  <si>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</si>
  <si>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</si>
  <si>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</si>
  <si>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</si>
  <si>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</si>
  <si>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</si>
  <si>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</si>
  <si>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</si>
  <si>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</si>
  <si>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</si>
  <si>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</si>
  <si>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</si>
  <si>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</si>
  <si>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</si>
  <si>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</si>
  <si>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</si>
  <si>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</si>
  <si>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</si>
  <si>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</si>
  <si>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</si>
  <si>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</si>
  <si>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</si>
  <si>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</si>
  <si>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</si>
  <si>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</si>
  <si>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</si>
  <si>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</si>
  <si>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</si>
  <si>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</si>
  <si>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</si>
  <si>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</si>
  <si>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</si>
  <si>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</si>
  <si>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</si>
  <si>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</si>
  <si>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</si>
  <si>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</si>
  <si>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</si>
  <si>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</si>
  <si>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</si>
  <si>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</si>
  <si>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</si>
  <si>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</si>
  <si>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</si>
  <si>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</si>
  <si>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</si>
  <si>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</si>
  <si>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</si>
  <si>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</si>
  <si>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</si>
  <si>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</si>
  <si>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</si>
  <si>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</si>
  <si>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</si>
  <si>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</si>
  <si>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</si>
  <si>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</si>
  <si>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</si>
  <si>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</si>
  <si>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</si>
  <si>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</si>
  <si>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</si>
  <si>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</si>
  <si>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</si>
  <si>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</si>
  <si>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</si>
  <si>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</si>
  <si>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</si>
  <si>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</si>
  <si>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</si>
  <si>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</si>
  <si>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</si>
  <si>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</si>
  <si>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</si>
  <si>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</si>
  <si>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</si>
  <si>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</si>
  <si>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</si>
  <si>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</si>
  <si>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</si>
  <si>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</si>
  <si>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</si>
  <si>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</si>
  <si>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</si>
  <si>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</si>
  <si>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</si>
  <si>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</si>
  <si>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</si>
  <si>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</si>
  <si>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</si>
  <si>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</si>
  <si>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</si>
  <si>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</si>
  <si>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</si>
  <si>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</si>
  <si>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</si>
  <si>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</si>
  <si>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</si>
  <si>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</si>
  <si>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</si>
  <si>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</si>
  <si>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</si>
  <si>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</si>
  <si>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</si>
  <si>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</si>
  <si>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</si>
  <si>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</si>
  <si>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</si>
  <si>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</si>
  <si>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</si>
  <si>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</si>
  <si>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</si>
  <si>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</si>
  <si>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</si>
  <si>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</si>
  <si>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</si>
  <si>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</si>
  <si>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</si>
  <si>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</si>
  <si>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</si>
  <si>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</si>
  <si>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</si>
  <si>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</si>
  <si>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</si>
  <si>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</si>
  <si>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</si>
  <si>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</si>
  <si>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</si>
  <si>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</si>
  <si>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</si>
  <si>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</si>
  <si>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</si>
  <si>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</si>
  <si>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</si>
  <si>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</si>
  <si>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</si>
  <si>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</si>
  <si>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</si>
  <si>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</si>
  <si>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</si>
  <si>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</si>
  <si>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</si>
  <si>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</si>
  <si>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</si>
  <si>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</si>
  <si>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</si>
  <si>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</si>
  <si>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</si>
  <si>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</si>
  <si>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</si>
  <si>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</si>
  <si>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</si>
  <si>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</si>
  <si>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</si>
  <si>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</si>
  <si>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</si>
  <si>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</si>
  <si>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</si>
  <si>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</si>
  <si>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</si>
  <si>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</si>
  <si>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</si>
  <si>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</si>
  <si>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</si>
  <si>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</si>
  <si>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</si>
  <si>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</si>
  <si>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</si>
  <si>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</si>
  <si>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</si>
  <si>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</si>
  <si>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</si>
  <si>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</si>
  <si>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</si>
  <si>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</si>
  <si>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</si>
  <si>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</si>
  <si>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</si>
  <si>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</si>
  <si>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</si>
  <si>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</si>
  <si>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</si>
  <si>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</si>
  <si>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</si>
  <si>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</si>
  <si>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</si>
  <si>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</si>
  <si>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</si>
  <si>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</si>
  <si>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</si>
  <si>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</si>
  <si>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</si>
  <si>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</si>
  <si>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</si>
  <si>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</si>
  <si>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</si>
  <si>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</si>
  <si>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</si>
  <si>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</si>
  <si>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</si>
  <si>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</si>
  <si>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</si>
  <si>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</si>
  <si>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</si>
  <si>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</si>
  <si>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</si>
  <si>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</si>
  <si>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</si>
  <si>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</si>
  <si>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</si>
  <si>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</si>
  <si>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</si>
  <si>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</si>
  <si>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</si>
  <si>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</si>
  <si>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</si>
  <si>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</si>
  <si>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</si>
  <si>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</si>
  <si>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</si>
  <si>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</si>
  <si>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</si>
  <si>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</si>
  <si>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</si>
  <si>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</si>
  <si>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</si>
  <si>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</si>
  <si>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</si>
  <si>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</si>
  <si>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</si>
  <si>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</si>
  <si>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</si>
  <si>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</si>
  <si>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</si>
  <si>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</si>
  <si>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</si>
  <si>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</si>
  <si>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</si>
  <si>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</si>
  <si>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</si>
  <si>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</si>
  <si>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</si>
  <si>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</si>
  <si>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</si>
  <si>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</si>
  <si>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</si>
  <si>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</si>
  <si>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</si>
  <si>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</si>
  <si>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</si>
  <si>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</si>
  <si>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</si>
  <si>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</si>
  <si>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</si>
  <si>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</si>
  <si>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</si>
  <si>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</si>
  <si>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</si>
  <si>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</si>
  <si>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</si>
  <si>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</si>
  <si>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</si>
  <si>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</si>
  <si>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</si>
  <si>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</si>
  <si>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</si>
  <si>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</si>
  <si>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</si>
  <si>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</si>
  <si>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</si>
  <si>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</si>
  <si>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</si>
  <si>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</si>
  <si>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</si>
  <si>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</si>
  <si>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</si>
  <si>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</si>
  <si>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</si>
  <si>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</si>
  <si>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</si>
  <si>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</si>
  <si>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</si>
  <si>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</si>
  <si>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</si>
  <si>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</si>
  <si>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</si>
  <si>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</si>
  <si>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</si>
  <si>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</si>
  <si>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</si>
  <si>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</si>
  <si>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</si>
  <si>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</si>
  <si>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</si>
  <si>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</si>
  <si>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</si>
  <si>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</si>
  <si>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</si>
  <si>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</si>
  <si>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</si>
  <si>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</si>
  <si>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</si>
  <si>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</si>
  <si>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</si>
  <si>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</si>
  <si>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</si>
  <si>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</si>
  <si>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</si>
  <si>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</si>
  <si>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</si>
  <si>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</si>
  <si>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</si>
  <si>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</si>
  <si>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</si>
  <si>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</si>
  <si>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</si>
  <si>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</si>
  <si>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</si>
  <si>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</si>
  <si>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</si>
  <si>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</si>
  <si>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</si>
  <si>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</si>
  <si>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</si>
  <si>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</si>
  <si>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</si>
  <si>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</si>
  <si>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</si>
  <si>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</si>
  <si>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</si>
  <si>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</si>
  <si>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</si>
  <si>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</si>
  <si>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</si>
  <si>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</si>
  <si>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</si>
  <si>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</si>
  <si>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</si>
  <si>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</si>
  <si>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</si>
  <si>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</si>
  <si>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</si>
  <si>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</si>
  <si>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</si>
  <si>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</si>
  <si>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</si>
  <si>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</si>
  <si>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</si>
  <si>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</si>
  <si>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</si>
  <si>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</si>
  <si>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</si>
  <si>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</si>
  <si>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</si>
  <si>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</si>
  <si>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</si>
  <si>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</si>
  <si>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</si>
  <si>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</si>
  <si>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</si>
  <si>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</si>
  <si>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</si>
  <si>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</si>
  <si>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</si>
  <si>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</si>
  <si>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</si>
  <si>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</si>
  <si>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</si>
  <si>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</si>
  <si>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</si>
  <si>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</si>
  <si>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</si>
  <si>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</si>
  <si>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</si>
  <si>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</si>
  <si>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</si>
  <si>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</si>
  <si>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</si>
  <si>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</si>
  <si>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</si>
  <si>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</si>
  <si>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</si>
  <si>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</si>
  <si>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</si>
  <si>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</si>
  <si>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</si>
  <si>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</si>
  <si>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</si>
  <si>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</si>
  <si>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</si>
  <si>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</si>
  <si>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</si>
  <si>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</si>
  <si>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</si>
  <si>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</si>
  <si>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</si>
  <si>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</si>
  <si>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</si>
  <si>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</si>
  <si>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</si>
  <si>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</si>
  <si>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</si>
  <si>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</si>
  <si>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</si>
  <si>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</si>
  <si>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</si>
  <si>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</si>
  <si>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</si>
  <si>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</si>
  <si>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</si>
  <si>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</si>
  <si>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</si>
  <si>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</si>
  <si>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</si>
  <si>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</si>
  <si>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</si>
  <si>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</si>
  <si>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</si>
  <si>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</si>
  <si>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</si>
  <si>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</si>
  <si>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</si>
  <si>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</si>
  <si>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</si>
  <si>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</si>
  <si>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</si>
  <si>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</si>
  <si>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</si>
  <si>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</si>
  <si>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</si>
  <si>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</si>
  <si>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</si>
  <si>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</si>
  <si>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</si>
  <si>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</si>
  <si>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</si>
  <si>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</si>
  <si>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</si>
  <si>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</si>
  <si>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</si>
  <si>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</si>
  <si>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</si>
  <si>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</si>
  <si>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</si>
  <si>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</si>
  <si>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</si>
  <si>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</si>
  <si>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</si>
  <si>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</si>
  <si>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</si>
  <si>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</si>
  <si>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</si>
  <si>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</si>
  <si>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</si>
  <si>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</si>
  <si>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</si>
  <si>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</si>
  <si>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</si>
  <si>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</si>
  <si>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</si>
  <si>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99774</t>
  </si>
  <si>
    <t>151290</t>
  </si>
  <si>
    <t>942</t>
  </si>
  <si>
    <t>98676</t>
  </si>
  <si>
    <t>149544</t>
  </si>
  <si>
    <t>1600</t>
  </si>
  <si>
    <t>67492</t>
  </si>
  <si>
    <t>134202</t>
  </si>
  <si>
    <t>1222</t>
  </si>
  <si>
    <t>65892</t>
  </si>
  <si>
    <t>130330</t>
  </si>
  <si>
    <t>702</t>
  </si>
  <si>
    <t>174991</t>
  </si>
  <si>
    <t>336394</t>
  </si>
  <si>
    <t>838</t>
  </si>
  <si>
    <t>118709</t>
  </si>
  <si>
    <t>264250</t>
  </si>
  <si>
    <t>794</t>
  </si>
  <si>
    <t>117812</t>
  </si>
  <si>
    <t>262668</t>
  </si>
  <si>
    <t>662</t>
  </si>
  <si>
    <t>134064</t>
  </si>
  <si>
    <t>398166</t>
  </si>
  <si>
    <t>944</t>
  </si>
  <si>
    <t>133402</t>
  </si>
  <si>
    <t>396329</t>
  </si>
  <si>
    <t>433160</t>
  </si>
  <si>
    <t>1570564</t>
  </si>
  <si>
    <t>432359</t>
  </si>
  <si>
    <t>1566104</t>
  </si>
  <si>
    <t>25</t>
  </si>
  <si>
    <t>203595</t>
  </si>
  <si>
    <t>685229</t>
  </si>
  <si>
    <t>155</t>
  </si>
  <si>
    <t>203570</t>
  </si>
  <si>
    <t>685170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</si>
  <si>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</si>
  <si>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</si>
  <si>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</si>
  <si>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</si>
  <si>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</si>
  <si>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</si>
  <si>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</si>
  <si>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</si>
  <si>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</si>
  <si>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</si>
  <si>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</si>
  <si>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</si>
  <si>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</si>
  <si>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</si>
  <si>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</si>
  <si>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</si>
  <si>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</si>
  <si>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</si>
  <si>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</si>
  <si>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</si>
  <si>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</si>
  <si>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</si>
  <si>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</si>
  <si>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</si>
  <si>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</si>
  <si>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</si>
  <si>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</si>
  <si>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</si>
  <si>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</si>
  <si>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</si>
  <si>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</si>
  <si>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</si>
  <si>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</si>
  <si>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</si>
  <si>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</si>
  <si>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</si>
  <si>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</si>
  <si>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</si>
  <si>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</si>
  <si>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</si>
  <si>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</si>
  <si>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</si>
  <si>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</si>
  <si>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</si>
  <si>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</si>
  <si>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</si>
  <si>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</si>
  <si>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</si>
  <si>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</si>
  <si>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</si>
  <si>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</si>
  <si>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101604</t>
  </si>
  <si>
    <t>153865</t>
  </si>
  <si>
    <t>886</t>
  </si>
  <si>
    <t>100660</t>
  </si>
  <si>
    <t>152582</t>
  </si>
  <si>
    <t>1784</t>
  </si>
  <si>
    <t>71410</t>
  </si>
  <si>
    <t>143178</t>
  </si>
  <si>
    <t>71</t>
  </si>
  <si>
    <t>2134</t>
  </si>
  <si>
    <t>69626</t>
  </si>
  <si>
    <t>139130</t>
  </si>
  <si>
    <t>703</t>
  </si>
  <si>
    <t>176208</t>
  </si>
  <si>
    <t>338803</t>
  </si>
  <si>
    <t>514</t>
  </si>
  <si>
    <t>175505</t>
  </si>
  <si>
    <t>337244</t>
  </si>
  <si>
    <t>336</t>
  </si>
  <si>
    <t>1118</t>
  </si>
  <si>
    <t>120679</t>
  </si>
  <si>
    <t>267427</t>
  </si>
  <si>
    <t>679</t>
  </si>
  <si>
    <t>119561</t>
  </si>
  <si>
    <t>265499</t>
  </si>
  <si>
    <t>433</t>
  </si>
  <si>
    <t>135238</t>
  </si>
  <si>
    <t>401624</t>
  </si>
  <si>
    <t>741</t>
  </si>
  <si>
    <t>134805</t>
  </si>
  <si>
    <t>400219</t>
  </si>
  <si>
    <t>1091</t>
  </si>
  <si>
    <t>435278</t>
  </si>
  <si>
    <t>1580128</t>
  </si>
  <si>
    <t>434187</t>
  </si>
  <si>
    <t>1575090</t>
  </si>
  <si>
    <t>915</t>
  </si>
  <si>
    <t>205593</t>
  </si>
  <si>
    <t>691263</t>
  </si>
  <si>
    <t>204678</t>
  </si>
  <si>
    <t>687820</t>
  </si>
  <si>
    <t>102409</t>
  </si>
  <si>
    <t>155035</t>
  </si>
  <si>
    <t>102407</t>
  </si>
  <si>
    <t>633</t>
  </si>
  <si>
    <t>73532</t>
  </si>
  <si>
    <t>147456</t>
  </si>
  <si>
    <t>1489</t>
  </si>
  <si>
    <t>72899</t>
  </si>
  <si>
    <t>146058</t>
  </si>
  <si>
    <t>177396</t>
  </si>
  <si>
    <t>340879</t>
  </si>
  <si>
    <t>8</t>
  </si>
  <si>
    <t>1038</t>
  </si>
  <si>
    <t>177394</t>
  </si>
  <si>
    <t>340875</t>
  </si>
  <si>
    <t>148</t>
  </si>
  <si>
    <t>176356</t>
  </si>
  <si>
    <t>338953</t>
  </si>
  <si>
    <t>301</t>
  </si>
  <si>
    <t>122019</t>
  </si>
  <si>
    <t>269907</t>
  </si>
  <si>
    <t>1039</t>
  </si>
  <si>
    <t>121718</t>
  </si>
  <si>
    <t>269368</t>
  </si>
  <si>
    <t>137294</t>
  </si>
  <si>
    <t>408182</t>
  </si>
  <si>
    <t>1293</t>
  </si>
  <si>
    <t>763</t>
  </si>
  <si>
    <t>136001</t>
  </si>
  <si>
    <t>404067</t>
  </si>
  <si>
    <t>437029</t>
  </si>
  <si>
    <t>1588095</t>
  </si>
  <si>
    <t>598</t>
  </si>
  <si>
    <t>436431</t>
  </si>
  <si>
    <t>1585119</t>
  </si>
  <si>
    <t>516</t>
  </si>
  <si>
    <t>207021</t>
  </si>
  <si>
    <t>696842</t>
  </si>
  <si>
    <t>291</t>
  </si>
  <si>
    <t>206505</t>
  </si>
  <si>
    <t>694798</t>
  </si>
  <si>
    <t>Escavação</t>
  </si>
  <si>
    <t xml:space="preserve"> 17 Aug 2026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</si>
  <si>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</si>
  <si>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</si>
  <si>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</si>
  <si>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</si>
  <si>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</si>
  <si>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</si>
  <si>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</si>
  <si>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</si>
  <si>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</si>
  <si>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</si>
  <si>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</si>
  <si>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</si>
  <si>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</si>
  <si>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</si>
  <si>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</si>
  <si>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</si>
  <si>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</si>
  <si>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</si>
  <si>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</si>
  <si>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</si>
  <si>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S34</t>
  </si>
  <si>
    <t xml:space="preserve"> 18 Aug 2026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</si>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</sst>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DD9411"/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0746887966804978E-2"/>
              <c:y val="-6.2745098039215713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3.0428769017980736E-2"/>
              <c:y val="-4.1830065359477135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6B8BC96-6E2C-407D-8C7A-C6DF1291BE55}" type="VALUE">
                  <a:rPr lang="en-US" b="1">
                    <a:solidFill>
                      <a:schemeClr val="bg1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10018</c:v>
                </c:pt>
                <c:pt idx="1">
                  <c:v>12349</c:v>
                </c:pt>
                <c:pt idx="2">
                  <c:v>12708</c:v>
                </c:pt>
                <c:pt idx="3">
                  <c:v>12153</c:v>
                </c:pt>
                <c:pt idx="4">
                  <c:v>5587</c:v>
                </c:pt>
                <c:pt idx="5">
                  <c:v>8861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4"/>
              <c:layout>
                <c:manualLayout>
                  <c:x val="-3.0428769017980736E-2"/>
                  <c:y val="-4.183006535947713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6B8BC96-6E2C-407D-8C7A-C6DF1291BE55}" type="VALUE">
                      <a:rPr lang="en-US" b="1">
                        <a:solidFill>
                          <a:schemeClr val="bg1"/>
                        </a:solidFill>
                      </a:rPr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numFmt formatCode="#,##0" sourceLinked="0"/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1.5389996502273523E-2"/>
              <c:y val="-0.1284796573875803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fld id="{23846B20-F7CC-4069-A007-81E3FDCE0969}" type="VALUE">
                  <a:rPr lang="en-US" b="1">
                    <a:solidFill>
                      <a:schemeClr val="bg1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21413</c:v>
                </c:pt>
                <c:pt idx="1">
                  <c:v>23332</c:v>
                </c:pt>
                <c:pt idx="2">
                  <c:v>37834</c:v>
                </c:pt>
                <c:pt idx="3">
                  <c:v>28356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17022</c:v>
                </c:pt>
                <c:pt idx="1">
                  <c:v>17642</c:v>
                </c:pt>
                <c:pt idx="2">
                  <c:v>29549</c:v>
                </c:pt>
                <c:pt idx="3">
                  <c:v>24262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layout>
                <c:manualLayout>
                  <c:x val="-1.5389996502273523E-2"/>
                  <c:y val="-0.1284796573875803"/>
                </c:manualLayout>
              </c:layout>
              <c:tx>
                <c:rich>
                  <a:bodyPr/>
                  <a:lstStyle/>
                  <a:p>
                    <a:fld id="{23846B20-F7CC-4069-A007-81E3FDCE0969}" type="VALUE">
                      <a:rPr lang="en-US" b="1">
                        <a:solidFill>
                          <a:schemeClr val="bg1"/>
                        </a:solidFill>
                      </a:rPr>
                      <a:pPr/>
                      <a:t>[VALOR]</a:t>
                    </a:fld>
                    <a:endParaRPr lang="pt-BR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23999.999999999996</c:v>
                </c:pt>
                <c:pt idx="2">
                  <c:v>23999.999999999996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550927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78240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013888" createdVersion="8" refreshedVersion="8" minRefreshableVersion="3" recordCount="855" xr:uid="{9D45AC4C-13ED-4258-A051-E1A0E0BEF410}">
  <cacheSource type="worksheet">
    <worksheetSource ref="A4:AB7112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7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245373" createdVersion="8" refreshedVersion="8" minRefreshableVersion="3" recordCount="855" xr:uid="{8D9D6DB7-C64F-4C80-9A78-61C3071D7139}">
  <cacheSource type="worksheet">
    <worksheetSource ref="A4:AB2546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axis="axisRow" showAll="0" sortType="ascending">
      <items count="18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sd="0" x="12"/>
        <item sd="0" x="13"/>
        <item sd="0" x="14"/>
        <item sd="0" x="15"/>
        <item h="1" x="16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2"/>
    </i>
    <i>
      <x v="13"/>
    </i>
    <i>
      <x v="14"/>
    </i>
    <i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5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107"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9">
        <item h="1" x="1"/>
        <item h="1" m="1" x="17"/>
        <item h="1" x="0"/>
        <item h="1" x="16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x="15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7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6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1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0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5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55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 s="1"/>
        <i x="17" nd="1"/>
        <i x="16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7"/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7">
        <i x="1"/>
        <i x="0"/>
        <i x="2"/>
        <i x="3"/>
        <i x="4"/>
        <i x="5"/>
        <i x="6"/>
        <i x="7"/>
        <i x="8"/>
        <i x="9"/>
        <i x="10"/>
        <i x="11"/>
        <i x="12" s="1"/>
        <i x="13" s="1"/>
        <i x="14" s="1"/>
        <i x="15" s="1"/>
        <i x="16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7"/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9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9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11" sqref="S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46244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33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R7" sqref="R7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46223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30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0"/>
  <sheetViews>
    <sheetView tabSelected="1" zoomScaleNormal="100" workbookViewId="0">
      <pane ySplit="4" topLeftCell="A858" activePane="bottomLeft" state="frozen"/>
      <selection pane="bottomLeft" activeCell="G869" sqref="G869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2977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2978</v>
      </c>
      <c r="Y793" s="2" t="s">
        <v>2979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 t="shared" ref="H794:H801" si="56"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 t="shared" si="56"/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2983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2984</v>
      </c>
      <c r="Y795" s="2" t="s">
        <v>2985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 t="shared" si="56"/>
        <v>2142.8571428571427</v>
      </c>
      <c r="I797" s="6">
        <f t="shared" ref="I797:I804" si="57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 t="shared" si="56"/>
        <v>2142.8571428571427</v>
      </c>
      <c r="I798" s="6">
        <f t="shared" si="57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2992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2993</v>
      </c>
      <c r="Y798" s="2" t="s">
        <v>2994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 t="shared" si="56"/>
        <v>2142.8571428571427</v>
      </c>
      <c r="I799" s="6">
        <f t="shared" si="57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2998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2999</v>
      </c>
      <c r="Y799" s="2" t="s">
        <v>3000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7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3003</v>
      </c>
      <c r="Y800" s="2" t="s">
        <v>3004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 t="shared" si="56"/>
        <v>2142.8571428571427</v>
      </c>
      <c r="I801" s="6">
        <f t="shared" si="57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3008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3009</v>
      </c>
      <c r="Y801" s="2" t="s">
        <v>3010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7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2975</v>
      </c>
      <c r="Y802" s="2" t="s">
        <v>2976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3144</v>
      </c>
      <c r="F803" s="13"/>
      <c r="G803" s="59"/>
      <c r="H803" s="6"/>
      <c r="I803" s="6">
        <f t="shared" si="57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7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2980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2981</v>
      </c>
      <c r="Y804" s="2" t="s">
        <v>2982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2986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2987</v>
      </c>
      <c r="Y806" s="2" t="s">
        <v>2988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2989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2990</v>
      </c>
      <c r="Y807" s="2" t="s">
        <v>2991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8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2995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2996</v>
      </c>
      <c r="Y809" s="2" t="s">
        <v>2997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8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3001</v>
      </c>
      <c r="Y810" s="2" t="s">
        <v>3002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8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3005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3006</v>
      </c>
      <c r="Y811" s="2" t="s">
        <v>3007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8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3064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3065</v>
      </c>
      <c r="Y812" s="2" t="s">
        <v>3066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3144</v>
      </c>
      <c r="F813" s="13"/>
      <c r="G813" s="59"/>
      <c r="H813" s="6"/>
      <c r="I813" s="6">
        <f t="shared" si="58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8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3071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3072</v>
      </c>
      <c r="Y814" s="2" t="s">
        <v>3073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9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3077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3078</v>
      </c>
      <c r="Y816" s="2" t="s">
        <v>3079</v>
      </c>
      <c r="Z816" s="2">
        <v>2.7</v>
      </c>
      <c r="AA816" s="2">
        <v>0.01</v>
      </c>
      <c r="AB816" s="2" t="s">
        <v>3080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 t="shared" ref="H817:H820" si="60">15000/6</f>
        <v>2500</v>
      </c>
      <c r="I817" s="6">
        <f t="shared" si="59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3084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3085</v>
      </c>
      <c r="Y817" s="2" t="s">
        <v>3086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 t="shared" si="60"/>
        <v>2500</v>
      </c>
      <c r="I818" s="6">
        <f t="shared" si="59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3090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3091</v>
      </c>
      <c r="Y818" s="2" t="s">
        <v>3092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9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3096</v>
      </c>
      <c r="Y819" s="2" t="s">
        <v>3097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 t="shared" si="60"/>
        <v>2500</v>
      </c>
      <c r="I820" s="6">
        <f t="shared" si="59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3101</v>
      </c>
      <c r="Y820" s="2" t="s">
        <v>3102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9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2998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3062</v>
      </c>
      <c r="Y821" s="2" t="s">
        <v>3063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3144</v>
      </c>
      <c r="F822" s="13"/>
      <c r="G822" s="59"/>
      <c r="H822" s="6"/>
      <c r="I822" s="6">
        <f t="shared" si="59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9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3067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3068</v>
      </c>
      <c r="Y823" s="2" t="s">
        <v>3069</v>
      </c>
      <c r="Z823" s="2">
        <v>1.6</v>
      </c>
      <c r="AA823" s="2" t="s">
        <v>548</v>
      </c>
      <c r="AB823" s="2" t="s">
        <v>3070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3074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3075</v>
      </c>
      <c r="Y825" s="2" t="s">
        <v>3076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 t="shared" ref="H826:H829" si="61"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3081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3082</v>
      </c>
      <c r="Y826" s="2" t="s">
        <v>3083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 t="shared" si="61"/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3087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3088</v>
      </c>
      <c r="Y827" s="2" t="s">
        <v>3089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3093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3094</v>
      </c>
      <c r="Y828" s="2" t="s">
        <v>3095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 t="shared" si="61"/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3098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3099</v>
      </c>
      <c r="Y829" s="2" t="s">
        <v>3100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62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3105</v>
      </c>
      <c r="Y831" s="2" t="s">
        <v>3104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3144</v>
      </c>
      <c r="F832" s="13"/>
      <c r="G832" s="59"/>
      <c r="H832" s="6"/>
      <c r="I832" s="6">
        <f t="shared" si="62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 t="shared" ref="H833:H838" si="63">15000/6</f>
        <v>2500</v>
      </c>
      <c r="I833" s="6">
        <f t="shared" si="62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3109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3110</v>
      </c>
      <c r="Y833" s="2" t="s">
        <v>3111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 t="shared" si="63"/>
        <v>2500</v>
      </c>
      <c r="I834" s="6">
        <f t="shared" si="62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3118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3119</v>
      </c>
      <c r="Y834" s="2" t="s">
        <v>3120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 t="shared" si="63"/>
        <v>2500</v>
      </c>
      <c r="I835" s="6">
        <f t="shared" si="62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3124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3125</v>
      </c>
      <c r="Y835" s="2" t="s">
        <v>3126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 t="shared" si="63"/>
        <v>2500</v>
      </c>
      <c r="I836" s="6">
        <f t="shared" si="62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3130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3131</v>
      </c>
      <c r="Y836" s="2" t="s">
        <v>3132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62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3136</v>
      </c>
      <c r="Y837" s="2" t="s">
        <v>3137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 t="shared" si="63"/>
        <v>2500</v>
      </c>
      <c r="I838" s="6">
        <f t="shared" si="62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3141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3142</v>
      </c>
      <c r="Y838" s="2" t="s">
        <v>3143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62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3103</v>
      </c>
      <c r="Y839" s="2" t="s">
        <v>3104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3144</v>
      </c>
      <c r="F840" s="13"/>
      <c r="G840" s="59"/>
      <c r="H840" s="6"/>
      <c r="I840" s="6">
        <f t="shared" si="62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 t="shared" ref="H841:H846" si="64">15000/5</f>
        <v>3000</v>
      </c>
      <c r="I841" s="6">
        <f t="shared" si="62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3106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3107</v>
      </c>
      <c r="Y841" s="2" t="s">
        <v>3108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 t="shared" si="64"/>
        <v>3000</v>
      </c>
      <c r="I842" s="6">
        <f t="shared" si="62"/>
        <v>278.55072463768113</v>
      </c>
      <c r="J842" s="2">
        <v>7.5</v>
      </c>
      <c r="K842" s="2">
        <v>6.9</v>
      </c>
      <c r="L842" s="2">
        <v>0.6</v>
      </c>
      <c r="M842" s="2" t="s">
        <v>3114</v>
      </c>
      <c r="N842" s="2" t="s">
        <v>3115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3116</v>
      </c>
      <c r="Y842" s="2" t="s">
        <v>3117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 t="shared" si="64"/>
        <v>3000</v>
      </c>
      <c r="I843" s="6">
        <f t="shared" si="62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3121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3122</v>
      </c>
      <c r="Y843" s="2" t="s">
        <v>3123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 t="shared" si="64"/>
        <v>3000</v>
      </c>
      <c r="I844" s="6">
        <f t="shared" si="62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3129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3127</v>
      </c>
      <c r="Y844" s="2" t="s">
        <v>3128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62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3135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3133</v>
      </c>
      <c r="Y845" s="2" t="s">
        <v>3134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 t="shared" si="64"/>
        <v>3000</v>
      </c>
      <c r="I846" s="6">
        <f t="shared" si="62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3138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3139</v>
      </c>
      <c r="Y846" s="2" t="s">
        <v>3140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62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3103</v>
      </c>
      <c r="Y847" s="2" t="s">
        <v>3104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62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62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62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3112</v>
      </c>
      <c r="Y850" s="2" t="s">
        <v>3113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62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62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3127</v>
      </c>
      <c r="Y852" s="2" t="s">
        <v>3128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62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3133</v>
      </c>
      <c r="Y853" s="2" t="s">
        <v>3134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62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2" t="s">
        <v>3145</v>
      </c>
      <c r="B855" s="8" t="s">
        <v>3166</v>
      </c>
      <c r="C855" s="8" t="s">
        <v>36</v>
      </c>
      <c r="D855" s="8" t="s">
        <v>39</v>
      </c>
      <c r="E855" s="8" t="s">
        <v>47</v>
      </c>
      <c r="F855" s="13"/>
      <c r="G855" s="59"/>
      <c r="H855" s="6"/>
      <c r="I855" s="6">
        <f t="shared" si="62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3146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3147</v>
      </c>
      <c r="X855" s="2" t="s">
        <v>3148</v>
      </c>
      <c r="Y855" s="2" t="s">
        <v>3149</v>
      </c>
      <c r="Z855" s="2">
        <v>0.4</v>
      </c>
      <c r="AA855" s="2" t="s">
        <v>548</v>
      </c>
      <c r="AB855" s="2">
        <v>292.8</v>
      </c>
    </row>
    <row r="856" spans="1:28" x14ac:dyDescent="0.25">
      <c r="A856" s="2" t="s">
        <v>3145</v>
      </c>
      <c r="B856" s="8" t="s">
        <v>3166</v>
      </c>
      <c r="C856" s="8" t="s">
        <v>36</v>
      </c>
      <c r="D856" s="8" t="s">
        <v>43</v>
      </c>
      <c r="E856" s="8" t="s">
        <v>3144</v>
      </c>
      <c r="F856" s="13"/>
      <c r="G856" s="59"/>
      <c r="H856" s="6"/>
      <c r="I856" s="6">
        <f t="shared" si="62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3150</v>
      </c>
    </row>
    <row r="857" spans="1:28" x14ac:dyDescent="0.25">
      <c r="A857" s="2" t="s">
        <v>3145</v>
      </c>
      <c r="B857" s="8" t="s">
        <v>3166</v>
      </c>
      <c r="C857" s="8" t="s">
        <v>36</v>
      </c>
      <c r="D857" s="8" t="s">
        <v>67</v>
      </c>
      <c r="E857" s="8" t="s">
        <v>47</v>
      </c>
      <c r="F857" s="13"/>
      <c r="G857" s="59"/>
      <c r="H857" s="6"/>
      <c r="I857" s="6">
        <f t="shared" si="62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3151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3152</v>
      </c>
      <c r="Y857" s="2" t="s">
        <v>3153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2" t="s">
        <v>3145</v>
      </c>
      <c r="B858" s="8" t="s">
        <v>3166</v>
      </c>
      <c r="C858" s="8" t="s">
        <v>36</v>
      </c>
      <c r="D858" s="8" t="s">
        <v>50</v>
      </c>
      <c r="E858" s="8" t="s">
        <v>47</v>
      </c>
      <c r="F858" s="13"/>
      <c r="G858" s="59"/>
      <c r="H858" s="6"/>
      <c r="I858" s="6">
        <f t="shared" si="62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3154</v>
      </c>
      <c r="Y858" s="2" t="s">
        <v>3155</v>
      </c>
      <c r="Z858" s="2">
        <v>0.1</v>
      </c>
      <c r="AA858" s="2" t="s">
        <v>548</v>
      </c>
      <c r="AB858" s="2">
        <v>337.5</v>
      </c>
    </row>
    <row r="859" spans="1:28" x14ac:dyDescent="0.25">
      <c r="A859" s="2" t="s">
        <v>3145</v>
      </c>
      <c r="B859" s="8" t="s">
        <v>3166</v>
      </c>
      <c r="C859" s="8" t="s">
        <v>36</v>
      </c>
      <c r="D859" s="8" t="s">
        <v>52</v>
      </c>
      <c r="E859" s="8" t="s">
        <v>47</v>
      </c>
      <c r="F859" s="13"/>
      <c r="G859" s="59"/>
      <c r="H859" s="6"/>
      <c r="I859" s="6">
        <f t="shared" si="62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3156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3157</v>
      </c>
      <c r="Y859" s="2" t="s">
        <v>3158</v>
      </c>
      <c r="Z859" s="2">
        <v>0.1</v>
      </c>
      <c r="AA859" s="2" t="s">
        <v>548</v>
      </c>
      <c r="AB859" s="2">
        <v>121.5</v>
      </c>
    </row>
    <row r="860" spans="1:28" x14ac:dyDescent="0.25">
      <c r="A860" s="2" t="s">
        <v>3145</v>
      </c>
      <c r="B860" s="8" t="s">
        <v>3166</v>
      </c>
      <c r="C860" s="8" t="s">
        <v>36</v>
      </c>
      <c r="D860" s="7" t="s">
        <v>46</v>
      </c>
      <c r="E860" s="8" t="s">
        <v>47</v>
      </c>
      <c r="F860" s="13"/>
      <c r="G860" s="59"/>
      <c r="H860" s="6"/>
      <c r="I860" s="6">
        <f t="shared" si="62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3129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3159</v>
      </c>
      <c r="Y860" s="2" t="s">
        <v>3160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2" t="s">
        <v>3145</v>
      </c>
      <c r="B861" s="8" t="s">
        <v>3166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/>
      <c r="I861" s="6">
        <f t="shared" si="62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3161</v>
      </c>
      <c r="Y861" s="2" t="s">
        <v>3162</v>
      </c>
      <c r="Z861" s="2">
        <v>0.1</v>
      </c>
      <c r="AA861" s="2" t="s">
        <v>548</v>
      </c>
      <c r="AB861" s="2">
        <v>49.7</v>
      </c>
    </row>
    <row r="862" spans="1:28" x14ac:dyDescent="0.25">
      <c r="A862" s="2" t="s">
        <v>3145</v>
      </c>
      <c r="B862" s="8" t="s">
        <v>3166</v>
      </c>
      <c r="C862" s="8" t="s">
        <v>36</v>
      </c>
      <c r="D862" s="8" t="s">
        <v>49</v>
      </c>
      <c r="E862" s="8" t="s">
        <v>47</v>
      </c>
      <c r="F862" s="13"/>
      <c r="G862" s="59"/>
      <c r="H862" s="6"/>
      <c r="I862" s="6">
        <f t="shared" si="62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3163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3164</v>
      </c>
      <c r="Y862" s="2" t="s">
        <v>3165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2" t="s">
        <v>3145</v>
      </c>
      <c r="B863" s="8" t="s">
        <v>3166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67" si="65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2" t="s">
        <v>3167</v>
      </c>
      <c r="B864" s="8" t="s">
        <v>3166</v>
      </c>
      <c r="C864" s="8" t="s">
        <v>36</v>
      </c>
      <c r="D864" s="8" t="s">
        <v>39</v>
      </c>
      <c r="E864" s="8" t="s">
        <v>47</v>
      </c>
      <c r="F864" s="13"/>
      <c r="G864" s="59"/>
      <c r="H864" s="6"/>
      <c r="I864" s="6">
        <f t="shared" si="65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85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3168</v>
      </c>
      <c r="Y864" s="2" t="s">
        <v>3169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2" t="s">
        <v>3167</v>
      </c>
      <c r="B865" s="8" t="s">
        <v>55</v>
      </c>
      <c r="C865" s="8" t="s">
        <v>56</v>
      </c>
      <c r="D865" s="8" t="s">
        <v>43</v>
      </c>
      <c r="E865" s="8" t="s">
        <v>3144</v>
      </c>
      <c r="F865" s="13"/>
      <c r="G865" s="59" t="s">
        <v>146</v>
      </c>
      <c r="H865" s="6"/>
      <c r="I865" s="6">
        <f t="shared" si="65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85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2" t="s">
        <v>3167</v>
      </c>
      <c r="B866" s="8" t="s">
        <v>3166</v>
      </c>
      <c r="C866" s="8" t="s">
        <v>36</v>
      </c>
      <c r="D866" s="8" t="s">
        <v>67</v>
      </c>
      <c r="E866" s="8" t="s">
        <v>47</v>
      </c>
      <c r="F866" s="13"/>
      <c r="G866" s="6"/>
      <c r="H866" s="6"/>
      <c r="I866" s="6">
        <f t="shared" si="65"/>
        <v>200.42857142857142</v>
      </c>
      <c r="J866" s="2">
        <v>9.15</v>
      </c>
      <c r="K866" s="2" t="s">
        <v>3170</v>
      </c>
      <c r="L866" s="2">
        <v>2.15</v>
      </c>
      <c r="M866" s="2">
        <v>23.5</v>
      </c>
      <c r="N866" s="2" t="s">
        <v>3171</v>
      </c>
      <c r="O866" s="85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3172</v>
      </c>
      <c r="Y866" s="2" t="s">
        <v>3173</v>
      </c>
      <c r="Z866" s="2">
        <v>0.7</v>
      </c>
      <c r="AA866" s="2" t="s">
        <v>548</v>
      </c>
      <c r="AB866" s="2" t="s">
        <v>3174</v>
      </c>
    </row>
    <row r="867" spans="1:28" x14ac:dyDescent="0.25">
      <c r="A867" s="2" t="s">
        <v>3167</v>
      </c>
      <c r="B867" s="8" t="s">
        <v>3166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5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2" t="s">
        <v>3167</v>
      </c>
      <c r="B868" s="8" t="s">
        <v>3166</v>
      </c>
      <c r="C868" s="8" t="s">
        <v>36</v>
      </c>
      <c r="D868" s="8" t="s">
        <v>50</v>
      </c>
      <c r="E868" s="8" t="s">
        <v>47</v>
      </c>
      <c r="F868" s="13"/>
      <c r="G868" s="59"/>
      <c r="H868" s="6"/>
      <c r="I868" s="6">
        <f t="shared" ref="I868:I870" si="66">IFERROR(O868/K868,)</f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3175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3176</v>
      </c>
      <c r="Y868" s="2" t="s">
        <v>3177</v>
      </c>
      <c r="Z868" s="2">
        <v>0.6</v>
      </c>
      <c r="AA868" s="2" t="s">
        <v>548</v>
      </c>
      <c r="AB868" s="2">
        <v>338.1</v>
      </c>
    </row>
    <row r="869" spans="1:28" x14ac:dyDescent="0.25">
      <c r="A869" s="2" t="s">
        <v>3167</v>
      </c>
      <c r="B869" s="8" t="s">
        <v>3166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6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2" t="s">
        <v>3167</v>
      </c>
      <c r="B870" s="8" t="s">
        <v>3166</v>
      </c>
      <c r="C870" s="8" t="s">
        <v>36</v>
      </c>
      <c r="D870" s="8" t="s">
        <v>52</v>
      </c>
      <c r="E870" s="8" t="s">
        <v>47</v>
      </c>
      <c r="F870" s="13"/>
      <c r="G870" s="59"/>
      <c r="H870" s="6"/>
      <c r="I870" s="6">
        <f t="shared" si="66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3178</v>
      </c>
      <c r="O870" s="85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3179</v>
      </c>
      <c r="Y870" s="2" t="s">
        <v>3180</v>
      </c>
      <c r="Z870" s="2">
        <v>0.1</v>
      </c>
      <c r="AA870" s="2" t="s">
        <v>548</v>
      </c>
      <c r="AB870" s="2">
        <v>121.6</v>
      </c>
    </row>
    <row r="871" spans="1:28" x14ac:dyDescent="0.25">
      <c r="A871" s="2" t="s">
        <v>3167</v>
      </c>
      <c r="B871" s="8" t="s">
        <v>3166</v>
      </c>
      <c r="C871" s="8" t="s">
        <v>36</v>
      </c>
      <c r="D871" s="7" t="s">
        <v>46</v>
      </c>
      <c r="E871" s="8" t="s">
        <v>47</v>
      </c>
      <c r="F871" s="13"/>
      <c r="G871" s="59"/>
      <c r="H871" s="6"/>
      <c r="I871" s="6">
        <f t="shared" ref="I871" si="67">IFERROR(O871/K871,)</f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3181</v>
      </c>
      <c r="O871" s="85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3182</v>
      </c>
      <c r="Y871" s="2" t="s">
        <v>3183</v>
      </c>
      <c r="Z871" s="2">
        <v>0.9</v>
      </c>
      <c r="AA871" s="2" t="s">
        <v>548</v>
      </c>
      <c r="AB871" s="2">
        <v>257.3</v>
      </c>
    </row>
    <row r="872" spans="1:28" x14ac:dyDescent="0.25">
      <c r="A872" s="2" t="s">
        <v>3167</v>
      </c>
      <c r="B872" s="8" t="s">
        <v>3166</v>
      </c>
      <c r="C872" s="8" t="s">
        <v>36</v>
      </c>
      <c r="D872" s="8" t="s">
        <v>48</v>
      </c>
      <c r="E872" s="7" t="s">
        <v>38</v>
      </c>
      <c r="F872" s="13"/>
      <c r="G872" s="59"/>
      <c r="H872" s="6"/>
      <c r="I872" s="6">
        <f t="shared" ref="I872" si="68">IFERROR(O872/K872,)</f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2" t="s">
        <v>3184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3185</v>
      </c>
      <c r="Y872" s="2" t="s">
        <v>3186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2"/>
      <c r="B873" s="8"/>
      <c r="C873" s="8"/>
      <c r="D873" s="8"/>
      <c r="E873" s="8"/>
      <c r="F873" s="13"/>
      <c r="G873" s="59"/>
      <c r="H873" s="6"/>
      <c r="I873" s="6"/>
      <c r="J873" s="2"/>
      <c r="K873" s="2"/>
      <c r="L873" s="2"/>
      <c r="M873" s="2"/>
      <c r="N873" s="2"/>
      <c r="O873" s="56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spans="1:28" x14ac:dyDescent="0.25">
      <c r="A874" s="2"/>
      <c r="B874" s="8"/>
      <c r="C874" s="8"/>
      <c r="D874" s="8"/>
      <c r="E874" s="8"/>
      <c r="F874" s="13"/>
      <c r="G874" s="59"/>
      <c r="H874" s="6"/>
      <c r="I874" s="6"/>
      <c r="J874" s="2"/>
      <c r="K874" s="2"/>
      <c r="L874" s="2"/>
      <c r="M874" s="2"/>
      <c r="N874" s="2"/>
      <c r="O874" s="56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spans="1:28" x14ac:dyDescent="0.25">
      <c r="A875" s="2"/>
      <c r="B875" s="8"/>
      <c r="C875" s="8"/>
      <c r="D875" s="8"/>
      <c r="E875" s="8"/>
      <c r="F875" s="13"/>
      <c r="G875" s="59"/>
      <c r="H875" s="6"/>
      <c r="I875" s="6"/>
      <c r="J875" s="2"/>
      <c r="K875" s="2"/>
      <c r="L875" s="2"/>
      <c r="M875" s="2"/>
      <c r="N875" s="2"/>
      <c r="O875" s="56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spans="1:28" x14ac:dyDescent="0.25">
      <c r="A876" s="2"/>
      <c r="B876" s="8"/>
      <c r="C876" s="8"/>
      <c r="D876" s="8"/>
      <c r="E876" s="8"/>
      <c r="F876" s="13"/>
      <c r="G876" s="59"/>
      <c r="H876" s="6"/>
      <c r="I876" s="6"/>
      <c r="J876" s="2"/>
      <c r="K876" s="2"/>
      <c r="L876" s="2"/>
      <c r="M876" s="2"/>
      <c r="N876" s="2"/>
      <c r="O876" s="56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spans="1:28" x14ac:dyDescent="0.25">
      <c r="A877" s="2"/>
      <c r="B877" s="8"/>
      <c r="C877" s="8"/>
      <c r="D877" s="8"/>
      <c r="E877" s="8"/>
      <c r="F877" s="13"/>
      <c r="G877" s="59"/>
      <c r="H877" s="6"/>
      <c r="I877" s="6"/>
      <c r="J877" s="2"/>
      <c r="K877" s="2"/>
      <c r="L877" s="2"/>
      <c r="M877" s="2"/>
      <c r="N877" s="2"/>
      <c r="O877" s="56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2"/>
      <c r="B878" s="8"/>
      <c r="C878" s="8"/>
      <c r="D878" s="8"/>
      <c r="E878" s="8"/>
      <c r="F878" s="13"/>
      <c r="G878" s="59"/>
      <c r="H878" s="6"/>
      <c r="I878" s="6"/>
      <c r="J878" s="2"/>
      <c r="K878" s="2"/>
      <c r="L878" s="2"/>
      <c r="M878" s="2"/>
      <c r="N878" s="2"/>
      <c r="O878" s="56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spans="1:28" x14ac:dyDescent="0.25">
      <c r="A879" s="2"/>
      <c r="B879" s="8"/>
      <c r="C879" s="8"/>
      <c r="D879" s="8"/>
      <c r="E879" s="8"/>
      <c r="F879" s="13"/>
      <c r="G879" s="59"/>
      <c r="H879" s="6"/>
      <c r="I879" s="6"/>
      <c r="J879" s="2"/>
      <c r="K879" s="2"/>
      <c r="L879" s="2"/>
      <c r="M879" s="2"/>
      <c r="N879" s="2"/>
      <c r="O879" s="56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spans="1:28" x14ac:dyDescent="0.25">
      <c r="A880" s="2"/>
      <c r="B880" s="8"/>
      <c r="C880" s="8"/>
      <c r="D880" s="8"/>
      <c r="E880" s="8"/>
      <c r="F880" s="13"/>
      <c r="G880" s="59"/>
      <c r="H880" s="6"/>
      <c r="I880" s="6"/>
      <c r="J880" s="2"/>
      <c r="K880" s="2"/>
      <c r="L880" s="2"/>
      <c r="M880" s="2"/>
      <c r="N880" s="2"/>
      <c r="O880" s="56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spans="1:28" x14ac:dyDescent="0.25">
      <c r="A881" s="2"/>
      <c r="B881" s="8"/>
      <c r="C881" s="8"/>
      <c r="D881" s="8"/>
      <c r="E881" s="8"/>
      <c r="F881" s="13"/>
      <c r="G881" s="59"/>
      <c r="H881" s="6"/>
      <c r="I881" s="6"/>
      <c r="J881" s="2"/>
      <c r="K881" s="2"/>
      <c r="L881" s="2"/>
      <c r="M881" s="2"/>
      <c r="N881" s="2"/>
      <c r="O881" s="56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spans="1:28" x14ac:dyDescent="0.25">
      <c r="A882" s="2"/>
      <c r="B882" s="8"/>
      <c r="C882" s="8"/>
      <c r="D882" s="8"/>
      <c r="E882" s="8"/>
      <c r="F882" s="13"/>
      <c r="G882" s="59"/>
      <c r="H882" s="6"/>
      <c r="I882" s="6"/>
      <c r="J882" s="2"/>
      <c r="K882" s="2"/>
      <c r="L882" s="2"/>
      <c r="M882" s="2"/>
      <c r="N882" s="2"/>
      <c r="O882" s="56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spans="1:28" x14ac:dyDescent="0.25">
      <c r="A883" s="2"/>
      <c r="B883" s="8"/>
      <c r="C883" s="8"/>
      <c r="D883" s="8"/>
      <c r="E883" s="8"/>
      <c r="F883" s="13"/>
      <c r="G883" s="59"/>
      <c r="H883" s="6"/>
      <c r="I883" s="6"/>
      <c r="J883" s="2"/>
      <c r="K883" s="2"/>
      <c r="L883" s="2"/>
      <c r="M883" s="2"/>
      <c r="N883" s="2"/>
      <c r="O883" s="56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spans="1:28" x14ac:dyDescent="0.25">
      <c r="A884" s="2"/>
      <c r="B884" s="8"/>
      <c r="C884" s="8"/>
      <c r="D884" s="8"/>
      <c r="E884" s="8"/>
      <c r="F884" s="13"/>
      <c r="G884" s="59"/>
      <c r="H884" s="6"/>
      <c r="I884" s="6"/>
      <c r="J884" s="2"/>
      <c r="K884" s="2"/>
      <c r="L884" s="2"/>
      <c r="M884" s="2"/>
      <c r="N884" s="2"/>
      <c r="O884" s="56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spans="1:28" x14ac:dyDescent="0.25">
      <c r="A885" s="2"/>
      <c r="B885" s="8"/>
      <c r="C885" s="8"/>
      <c r="D885" s="8"/>
      <c r="E885" s="8"/>
      <c r="F885" s="13"/>
      <c r="G885" s="59"/>
      <c r="H885" s="6"/>
      <c r="I885" s="6"/>
      <c r="J885" s="2"/>
      <c r="K885" s="2"/>
      <c r="L885" s="2"/>
      <c r="M885" s="2"/>
      <c r="N885" s="2"/>
      <c r="O885" s="56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spans="1:28" x14ac:dyDescent="0.25">
      <c r="A886" s="2"/>
      <c r="B886" s="8"/>
      <c r="C886" s="8"/>
      <c r="D886" s="8"/>
      <c r="E886" s="8"/>
      <c r="F886" s="13"/>
      <c r="G886" s="59"/>
      <c r="H886" s="6"/>
      <c r="I886" s="6"/>
      <c r="J886" s="2"/>
      <c r="K886" s="2"/>
      <c r="L886" s="2"/>
      <c r="M886" s="2"/>
      <c r="N886" s="2"/>
      <c r="O886" s="56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2"/>
      <c r="B887" s="8"/>
      <c r="C887" s="8"/>
      <c r="D887" s="8"/>
      <c r="E887" s="8"/>
      <c r="F887" s="13"/>
      <c r="G887" s="59"/>
      <c r="H887" s="6"/>
      <c r="I887" s="6"/>
      <c r="J887" s="2"/>
      <c r="K887" s="2"/>
      <c r="L887" s="2"/>
      <c r="M887" s="2"/>
      <c r="N887" s="2"/>
      <c r="O887" s="56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spans="1:28" x14ac:dyDescent="0.25">
      <c r="A888" s="2"/>
      <c r="B888" s="8"/>
      <c r="C888" s="8"/>
      <c r="D888" s="8"/>
      <c r="E888" s="8"/>
      <c r="F888" s="13"/>
      <c r="G888" s="59"/>
      <c r="H888" s="6"/>
      <c r="I888" s="6"/>
      <c r="J888" s="2"/>
      <c r="K888" s="2"/>
      <c r="L888" s="2"/>
      <c r="M888" s="2"/>
      <c r="N888" s="2"/>
      <c r="O888" s="56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spans="1:28" x14ac:dyDescent="0.25">
      <c r="A889" s="2"/>
      <c r="B889" s="8"/>
      <c r="C889" s="8"/>
      <c r="D889" s="8"/>
      <c r="E889" s="8"/>
      <c r="F889" s="13"/>
      <c r="G889" s="59"/>
      <c r="H889" s="6"/>
      <c r="I889" s="6"/>
      <c r="J889" s="2"/>
      <c r="K889" s="2"/>
      <c r="L889" s="2"/>
      <c r="M889" s="2"/>
      <c r="N889" s="2"/>
      <c r="O889" s="56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spans="1:28" x14ac:dyDescent="0.25">
      <c r="A890" s="2"/>
      <c r="B890" s="8"/>
      <c r="C890" s="8"/>
      <c r="D890" s="8"/>
      <c r="E890" s="8"/>
      <c r="F890" s="13"/>
      <c r="G890" s="59"/>
      <c r="H890" s="6"/>
      <c r="I890" s="6"/>
      <c r="J890" s="2"/>
      <c r="K890" s="2"/>
      <c r="L890" s="2"/>
      <c r="M890" s="2"/>
      <c r="N890" s="2"/>
      <c r="O890" s="56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spans="1:28" x14ac:dyDescent="0.25">
      <c r="A891" s="2"/>
      <c r="B891" s="8"/>
      <c r="C891" s="8"/>
      <c r="D891" s="8"/>
      <c r="E891" s="8"/>
      <c r="F891" s="13"/>
      <c r="G891" s="59"/>
      <c r="H891" s="6"/>
      <c r="I891" s="6"/>
      <c r="J891" s="2"/>
      <c r="K891" s="2"/>
      <c r="L891" s="2"/>
      <c r="M891" s="2"/>
      <c r="N891" s="2"/>
      <c r="O891" s="56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spans="1:28" x14ac:dyDescent="0.25">
      <c r="A892" s="2"/>
      <c r="B892" s="8"/>
      <c r="C892" s="8"/>
      <c r="D892" s="8"/>
      <c r="E892" s="8"/>
      <c r="F892" s="13"/>
      <c r="G892" s="59"/>
      <c r="H892" s="6"/>
      <c r="I892" s="6"/>
      <c r="J892" s="2"/>
      <c r="K892" s="2"/>
      <c r="L892" s="2"/>
      <c r="M892" s="2"/>
      <c r="N892" s="2"/>
      <c r="O892" s="56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spans="1:28" x14ac:dyDescent="0.25">
      <c r="A893" s="2"/>
      <c r="B893" s="8"/>
      <c r="C893" s="8"/>
      <c r="D893" s="8"/>
      <c r="E893" s="8"/>
      <c r="F893" s="13"/>
      <c r="G893" s="59"/>
      <c r="H893" s="6"/>
      <c r="I893" s="6"/>
      <c r="J893" s="2"/>
      <c r="K893" s="2"/>
      <c r="L893" s="2"/>
      <c r="M893" s="2"/>
      <c r="N893" s="2"/>
      <c r="O893" s="56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spans="1:28" x14ac:dyDescent="0.25">
      <c r="A894" s="2"/>
      <c r="B894" s="8"/>
      <c r="C894" s="8"/>
      <c r="D894" s="8"/>
      <c r="E894" s="8"/>
      <c r="F894" s="13"/>
      <c r="G894" s="59"/>
      <c r="H894" s="6"/>
      <c r="I894" s="6"/>
      <c r="J894" s="2"/>
      <c r="K894" s="2"/>
      <c r="L894" s="2"/>
      <c r="M894" s="2"/>
      <c r="N894" s="2"/>
      <c r="O894" s="56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spans="1:28" x14ac:dyDescent="0.25">
      <c r="A895" s="2"/>
      <c r="B895" s="8"/>
      <c r="C895" s="8"/>
      <c r="D895" s="8"/>
      <c r="E895" s="8"/>
      <c r="F895" s="13"/>
      <c r="G895" s="59"/>
      <c r="H895" s="6"/>
      <c r="I895" s="6"/>
      <c r="J895" s="2"/>
      <c r="K895" s="2"/>
      <c r="L895" s="2"/>
      <c r="M895" s="2"/>
      <c r="N895" s="2"/>
      <c r="O895" s="56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2"/>
      <c r="B896" s="8"/>
      <c r="C896" s="8"/>
      <c r="D896" s="8"/>
      <c r="E896" s="8"/>
      <c r="F896" s="13"/>
      <c r="G896" s="59"/>
      <c r="H896" s="6"/>
      <c r="I896" s="6"/>
      <c r="J896" s="2"/>
      <c r="K896" s="2"/>
      <c r="L896" s="2"/>
      <c r="M896" s="2"/>
      <c r="N896" s="2"/>
      <c r="O896" s="56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spans="1:28" x14ac:dyDescent="0.25">
      <c r="A897" s="2"/>
      <c r="B897" s="8"/>
      <c r="C897" s="8"/>
      <c r="D897" s="8"/>
      <c r="E897" s="8"/>
      <c r="F897" s="13"/>
      <c r="G897" s="59"/>
      <c r="H897" s="6"/>
      <c r="I897" s="6"/>
      <c r="J897" s="2"/>
      <c r="K897" s="2"/>
      <c r="L897" s="2"/>
      <c r="M897" s="2"/>
      <c r="N897" s="2"/>
      <c r="O897" s="56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spans="1:28" x14ac:dyDescent="0.25">
      <c r="A898" s="2"/>
      <c r="B898" s="8"/>
      <c r="C898" s="8"/>
      <c r="D898" s="8"/>
      <c r="E898" s="8"/>
      <c r="F898" s="13"/>
      <c r="G898" s="59"/>
      <c r="H898" s="6"/>
      <c r="I898" s="6"/>
      <c r="J898" s="2"/>
      <c r="K898" s="2"/>
      <c r="L898" s="2"/>
      <c r="M898" s="2"/>
      <c r="N898" s="2"/>
      <c r="O898" s="56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spans="1:28" x14ac:dyDescent="0.25">
      <c r="A899" s="2"/>
      <c r="B899" s="8"/>
      <c r="C899" s="8"/>
      <c r="D899" s="8"/>
      <c r="E899" s="8"/>
      <c r="F899" s="13"/>
      <c r="G899" s="59"/>
      <c r="H899" s="6"/>
      <c r="I899" s="6"/>
      <c r="J899" s="2"/>
      <c r="K899" s="2"/>
      <c r="L899" s="2"/>
      <c r="M899" s="2"/>
      <c r="N899" s="2"/>
      <c r="O899" s="56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spans="1:28" x14ac:dyDescent="0.25">
      <c r="A900" s="2"/>
      <c r="B900" s="8"/>
      <c r="C900" s="8"/>
      <c r="D900" s="8"/>
      <c r="E900" s="8"/>
      <c r="F900" s="13"/>
      <c r="G900" s="59"/>
      <c r="H900" s="6"/>
      <c r="I900" s="6"/>
      <c r="J900" s="2"/>
      <c r="K900" s="2"/>
      <c r="L900" s="2"/>
      <c r="M900" s="2"/>
      <c r="N900" s="2"/>
      <c r="O900" s="56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spans="1:28" x14ac:dyDescent="0.25">
      <c r="A901" s="2"/>
      <c r="B901" s="8"/>
      <c r="C901" s="8"/>
      <c r="D901" s="8"/>
      <c r="E901" s="8"/>
      <c r="F901" s="13"/>
      <c r="G901" s="59"/>
      <c r="H901" s="6"/>
      <c r="I901" s="6"/>
      <c r="J901" s="2"/>
      <c r="K901" s="2"/>
      <c r="L901" s="2"/>
      <c r="M901" s="2"/>
      <c r="N901" s="2"/>
      <c r="O901" s="56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spans="1:28" x14ac:dyDescent="0.25">
      <c r="A902" s="2"/>
      <c r="B902" s="8"/>
      <c r="C902" s="8"/>
      <c r="D902" s="8"/>
      <c r="E902" s="8"/>
      <c r="F902" s="13"/>
      <c r="G902" s="59"/>
      <c r="H902" s="6"/>
      <c r="I902" s="6"/>
      <c r="J902" s="2"/>
      <c r="K902" s="2"/>
      <c r="L902" s="2"/>
      <c r="M902" s="2"/>
      <c r="N902" s="2"/>
      <c r="O902" s="56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spans="1:28" x14ac:dyDescent="0.25">
      <c r="A903" s="2"/>
      <c r="B903" s="8"/>
      <c r="C903" s="8"/>
      <c r="D903" s="8"/>
      <c r="E903" s="8"/>
      <c r="F903" s="13"/>
      <c r="G903" s="59"/>
      <c r="H903" s="6"/>
      <c r="I903" s="6"/>
      <c r="J903" s="2"/>
      <c r="K903" s="2"/>
      <c r="L903" s="2"/>
      <c r="M903" s="2"/>
      <c r="N903" s="2"/>
      <c r="O903" s="56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spans="1:28" x14ac:dyDescent="0.25">
      <c r="A904" s="2"/>
      <c r="B904" s="8"/>
      <c r="C904" s="8"/>
      <c r="D904" s="8"/>
      <c r="E904" s="8"/>
      <c r="F904" s="13"/>
      <c r="G904" s="59"/>
      <c r="H904" s="6"/>
      <c r="I904" s="6"/>
      <c r="J904" s="2"/>
      <c r="K904" s="2"/>
      <c r="L904" s="2"/>
      <c r="M904" s="2"/>
      <c r="N904" s="2"/>
      <c r="O904" s="56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spans="1:28" x14ac:dyDescent="0.25">
      <c r="A905" s="2"/>
      <c r="B905" s="8"/>
      <c r="C905" s="8"/>
      <c r="D905" s="8"/>
      <c r="E905" s="8"/>
      <c r="F905" s="13"/>
      <c r="G905" s="59"/>
      <c r="H905" s="6"/>
      <c r="I905" s="6"/>
      <c r="J905" s="2"/>
      <c r="K905" s="2"/>
      <c r="L905" s="2"/>
      <c r="M905" s="2"/>
      <c r="N905" s="2"/>
      <c r="O905" s="56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spans="1:28" x14ac:dyDescent="0.25">
      <c r="A906" s="2"/>
      <c r="B906" s="8"/>
      <c r="C906" s="8"/>
      <c r="D906" s="8"/>
      <c r="E906" s="8"/>
      <c r="F906" s="13"/>
      <c r="G906" s="59"/>
      <c r="H906" s="6"/>
      <c r="I906" s="6"/>
      <c r="J906" s="2"/>
      <c r="K906" s="2"/>
      <c r="L906" s="2"/>
      <c r="M906" s="2"/>
      <c r="N906" s="2"/>
      <c r="O906" s="56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spans="1:28" x14ac:dyDescent="0.25">
      <c r="A907" s="2"/>
      <c r="B907" s="8"/>
      <c r="C907" s="8"/>
      <c r="D907" s="8"/>
      <c r="E907" s="8"/>
      <c r="F907" s="13"/>
      <c r="G907" s="59"/>
      <c r="H907" s="6"/>
      <c r="I907" s="6"/>
      <c r="J907" s="2"/>
      <c r="K907" s="2"/>
      <c r="L907" s="2"/>
      <c r="M907" s="2"/>
      <c r="N907" s="2"/>
      <c r="O907" s="56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spans="1:28" x14ac:dyDescent="0.25">
      <c r="A908" s="2"/>
      <c r="B908" s="8"/>
      <c r="C908" s="8"/>
      <c r="D908" s="8"/>
      <c r="E908" s="8"/>
      <c r="F908" s="13"/>
      <c r="G908" s="59"/>
      <c r="H908" s="6"/>
      <c r="I908" s="6"/>
      <c r="J908" s="2"/>
      <c r="K908" s="2"/>
      <c r="L908" s="2"/>
      <c r="M908" s="2"/>
      <c r="N908" s="2"/>
      <c r="O908" s="56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spans="1:28" x14ac:dyDescent="0.25">
      <c r="A909" s="2"/>
      <c r="B909" s="8"/>
      <c r="C909" s="8"/>
      <c r="D909" s="8"/>
      <c r="E909" s="8"/>
      <c r="F909" s="13"/>
      <c r="G909" s="59"/>
      <c r="H909" s="6"/>
      <c r="I909" s="6"/>
      <c r="J909" s="2"/>
      <c r="K909" s="2"/>
      <c r="L909" s="2"/>
      <c r="M909" s="2"/>
      <c r="N909" s="2"/>
      <c r="O909" s="56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spans="1:28" x14ac:dyDescent="0.25">
      <c r="A910" s="2"/>
      <c r="B910" s="8"/>
      <c r="C910" s="8"/>
      <c r="D910" s="8"/>
      <c r="E910" s="8"/>
      <c r="F910" s="13"/>
      <c r="G910" s="59"/>
      <c r="H910" s="6"/>
      <c r="I910" s="6"/>
      <c r="J910" s="2"/>
      <c r="K910" s="2"/>
      <c r="L910" s="2"/>
      <c r="M910" s="2"/>
      <c r="N910" s="2"/>
      <c r="O910" s="56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spans="1:28" x14ac:dyDescent="0.25">
      <c r="A911" s="2"/>
      <c r="B911" s="8"/>
      <c r="C911" s="8"/>
      <c r="D911" s="8"/>
      <c r="E911" s="8"/>
      <c r="F911" s="13"/>
      <c r="G911" s="59"/>
      <c r="H911" s="6"/>
      <c r="I911" s="6"/>
      <c r="J911" s="2"/>
      <c r="K911" s="2"/>
      <c r="L911" s="2"/>
      <c r="M911" s="2"/>
      <c r="N911" s="2"/>
      <c r="O911" s="56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spans="1:28" x14ac:dyDescent="0.25">
      <c r="A912" s="2"/>
      <c r="B912" s="8"/>
      <c r="C912" s="8"/>
      <c r="D912" s="8"/>
      <c r="E912" s="8"/>
      <c r="F912" s="13"/>
      <c r="G912" s="59"/>
      <c r="H912" s="6"/>
      <c r="I912" s="6"/>
      <c r="J912" s="2"/>
      <c r="K912" s="2"/>
      <c r="L912" s="2"/>
      <c r="M912" s="2"/>
      <c r="N912" s="2"/>
      <c r="O912" s="56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spans="1:28" x14ac:dyDescent="0.25">
      <c r="A913" s="2"/>
      <c r="B913" s="8"/>
      <c r="C913" s="8"/>
      <c r="D913" s="8"/>
      <c r="E913" s="8"/>
      <c r="F913" s="13"/>
      <c r="G913" s="59"/>
      <c r="H913" s="6"/>
      <c r="I913" s="6"/>
      <c r="J913" s="2"/>
      <c r="K913" s="2"/>
      <c r="L913" s="2"/>
      <c r="M913" s="2"/>
      <c r="N913" s="2"/>
      <c r="O913" s="56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spans="1:28" x14ac:dyDescent="0.25">
      <c r="A914" s="2"/>
      <c r="B914" s="8"/>
      <c r="C914" s="8"/>
      <c r="D914" s="8"/>
      <c r="E914" s="8"/>
      <c r="F914" s="13"/>
      <c r="G914" s="59"/>
      <c r="H914" s="6"/>
      <c r="I914" s="6"/>
      <c r="J914" s="2"/>
      <c r="K914" s="2"/>
      <c r="L914" s="2"/>
      <c r="M914" s="2"/>
      <c r="N914" s="2"/>
      <c r="O914" s="56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spans="1:28" x14ac:dyDescent="0.25">
      <c r="A915" s="2"/>
      <c r="B915" s="8"/>
      <c r="C915" s="8"/>
      <c r="D915" s="8"/>
      <c r="E915" s="8"/>
      <c r="F915" s="13"/>
      <c r="G915" s="59"/>
      <c r="H915" s="6"/>
      <c r="I915" s="6"/>
      <c r="J915" s="2"/>
      <c r="K915" s="2"/>
      <c r="L915" s="2"/>
      <c r="M915" s="2"/>
      <c r="N915" s="2"/>
      <c r="O915" s="56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spans="1:28" x14ac:dyDescent="0.25">
      <c r="A916" s="2"/>
      <c r="B916" s="8"/>
      <c r="C916" s="8"/>
      <c r="D916" s="8"/>
      <c r="E916" s="8"/>
      <c r="F916" s="13"/>
      <c r="G916" s="59"/>
      <c r="H916" s="6"/>
      <c r="I916" s="6"/>
      <c r="J916" s="2"/>
      <c r="K916" s="2"/>
      <c r="L916" s="2"/>
      <c r="M916" s="2"/>
      <c r="N916" s="2"/>
      <c r="O916" s="56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spans="1:28" x14ac:dyDescent="0.25">
      <c r="A917" s="2"/>
      <c r="B917" s="8"/>
      <c r="C917" s="8"/>
      <c r="D917" s="8"/>
      <c r="E917" s="8"/>
      <c r="F917" s="13"/>
      <c r="G917" s="59"/>
      <c r="H917" s="6"/>
      <c r="I917" s="6"/>
      <c r="J917" s="2"/>
      <c r="K917" s="2"/>
      <c r="L917" s="2"/>
      <c r="M917" s="2"/>
      <c r="N917" s="2"/>
      <c r="O917" s="56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 x14ac:dyDescent="0.25">
      <c r="A918" s="2"/>
      <c r="B918" s="8"/>
      <c r="C918" s="8"/>
      <c r="D918" s="8"/>
      <c r="E918" s="8"/>
      <c r="F918" s="13"/>
      <c r="G918" s="59"/>
      <c r="H918" s="6"/>
      <c r="I918" s="6"/>
      <c r="J918" s="2"/>
      <c r="K918" s="2"/>
      <c r="L918" s="2"/>
      <c r="M918" s="2"/>
      <c r="N918" s="2"/>
      <c r="O918" s="56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 x14ac:dyDescent="0.25">
      <c r="A919" s="2"/>
      <c r="B919" s="8"/>
      <c r="C919" s="8"/>
      <c r="D919" s="8"/>
      <c r="E919" s="8"/>
      <c r="F919" s="13"/>
      <c r="G919" s="59"/>
      <c r="H919" s="6"/>
      <c r="I919" s="6"/>
      <c r="J919" s="2"/>
      <c r="K919" s="2"/>
      <c r="L919" s="2"/>
      <c r="M919" s="2"/>
      <c r="N919" s="2"/>
      <c r="O919" s="56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 x14ac:dyDescent="0.25">
      <c r="A920" s="2"/>
      <c r="B920" s="8"/>
      <c r="C920" s="8"/>
      <c r="D920" s="8"/>
      <c r="E920" s="8"/>
      <c r="F920" s="13"/>
      <c r="G920" s="59"/>
      <c r="H920" s="6"/>
      <c r="I920" s="6"/>
      <c r="J920" s="2"/>
      <c r="K920" s="2"/>
      <c r="L920" s="2"/>
      <c r="M920" s="2"/>
      <c r="N920" s="2"/>
      <c r="O920" s="56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x14ac:dyDescent="0.25">
      <c r="A921" s="2"/>
      <c r="B921" s="8"/>
      <c r="C921" s="8"/>
      <c r="D921" s="8"/>
      <c r="E921" s="8"/>
      <c r="F921" s="13"/>
      <c r="G921" s="59"/>
      <c r="H921" s="6"/>
      <c r="I921" s="6"/>
      <c r="J921" s="2"/>
      <c r="K921" s="2"/>
      <c r="L921" s="2"/>
      <c r="M921" s="2"/>
      <c r="N921" s="2"/>
      <c r="O921" s="56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 x14ac:dyDescent="0.25">
      <c r="A922" s="2"/>
      <c r="B922" s="8"/>
      <c r="C922" s="8"/>
      <c r="D922" s="8"/>
      <c r="E922" s="8"/>
      <c r="F922" s="13"/>
      <c r="G922" s="59"/>
      <c r="H922" s="6"/>
      <c r="I922" s="6"/>
      <c r="J922" s="2"/>
      <c r="K922" s="2"/>
      <c r="L922" s="2"/>
      <c r="M922" s="2"/>
      <c r="N922" s="2"/>
      <c r="O922" s="56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 x14ac:dyDescent="0.25">
      <c r="A923" s="2"/>
      <c r="B923" s="8"/>
      <c r="C923" s="8"/>
      <c r="D923" s="8"/>
      <c r="E923" s="8"/>
      <c r="F923" s="13"/>
      <c r="G923" s="59"/>
      <c r="H923" s="6"/>
      <c r="I923" s="6"/>
      <c r="J923" s="2"/>
      <c r="K923" s="2"/>
      <c r="L923" s="2"/>
      <c r="M923" s="2"/>
      <c r="N923" s="2"/>
      <c r="O923" s="56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 x14ac:dyDescent="0.25">
      <c r="A924" s="2"/>
      <c r="B924" s="8"/>
      <c r="C924" s="8"/>
      <c r="D924" s="8"/>
      <c r="E924" s="8"/>
      <c r="F924" s="13"/>
      <c r="G924" s="59"/>
      <c r="H924" s="6"/>
      <c r="I924" s="6"/>
      <c r="J924" s="2"/>
      <c r="K924" s="2"/>
      <c r="L924" s="2"/>
      <c r="M924" s="2"/>
      <c r="N924" s="2"/>
      <c r="O924" s="56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 x14ac:dyDescent="0.25">
      <c r="A925" s="2"/>
      <c r="B925" s="8"/>
      <c r="C925" s="8"/>
      <c r="D925" s="8"/>
      <c r="E925" s="8"/>
      <c r="F925" s="13"/>
      <c r="G925" s="59"/>
      <c r="H925" s="6"/>
      <c r="I925" s="6"/>
      <c r="J925" s="2"/>
      <c r="K925" s="2"/>
      <c r="L925" s="2"/>
      <c r="M925" s="2"/>
      <c r="N925" s="2"/>
      <c r="O925" s="56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x14ac:dyDescent="0.25">
      <c r="A926" s="2"/>
      <c r="B926" s="8"/>
      <c r="C926" s="8"/>
      <c r="D926" s="8"/>
      <c r="E926" s="8"/>
      <c r="F926" s="13"/>
      <c r="G926" s="59"/>
      <c r="H926" s="6"/>
      <c r="I926" s="6"/>
      <c r="J926" s="2"/>
      <c r="K926" s="2"/>
      <c r="L926" s="2"/>
      <c r="M926" s="2"/>
      <c r="N926" s="2"/>
      <c r="O926" s="56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2"/>
      <c r="B927" s="8"/>
      <c r="C927" s="8"/>
      <c r="D927" s="8"/>
      <c r="E927" s="8"/>
      <c r="F927" s="13"/>
      <c r="G927" s="59"/>
      <c r="H927" s="6"/>
      <c r="I927" s="6"/>
      <c r="J927" s="2"/>
      <c r="K927" s="2"/>
      <c r="L927" s="2"/>
      <c r="M927" s="2"/>
      <c r="N927" s="2"/>
      <c r="O927" s="56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x14ac:dyDescent="0.25">
      <c r="A928" s="2"/>
      <c r="B928" s="8"/>
      <c r="C928" s="8"/>
      <c r="D928" s="8"/>
      <c r="E928" s="8"/>
      <c r="F928" s="13"/>
      <c r="G928" s="59"/>
      <c r="H928" s="6"/>
      <c r="I928" s="6"/>
      <c r="J928" s="2"/>
      <c r="K928" s="2"/>
      <c r="L928" s="2"/>
      <c r="M928" s="2"/>
      <c r="N928" s="2"/>
      <c r="O928" s="56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x14ac:dyDescent="0.25">
      <c r="A929" s="2"/>
      <c r="B929" s="8"/>
      <c r="C929" s="8"/>
      <c r="D929" s="8"/>
      <c r="E929" s="8"/>
      <c r="F929" s="13"/>
      <c r="G929" s="59"/>
      <c r="H929" s="6"/>
      <c r="I929" s="6"/>
      <c r="J929" s="2"/>
      <c r="K929" s="2"/>
      <c r="L929" s="2"/>
      <c r="M929" s="2"/>
      <c r="N929" s="2"/>
      <c r="O929" s="56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x14ac:dyDescent="0.25">
      <c r="A930" s="2"/>
      <c r="B930" s="8"/>
      <c r="C930" s="8"/>
      <c r="D930" s="8"/>
      <c r="E930" s="8"/>
      <c r="F930" s="13"/>
      <c r="G930" s="59"/>
      <c r="H930" s="6"/>
      <c r="I930" s="6"/>
      <c r="J930" s="2"/>
      <c r="K930" s="2"/>
      <c r="L930" s="2"/>
      <c r="M930" s="2"/>
      <c r="N930" s="2"/>
      <c r="O930" s="56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x14ac:dyDescent="0.25">
      <c r="A931" s="2"/>
      <c r="B931" s="8"/>
      <c r="C931" s="8"/>
      <c r="D931" s="8"/>
      <c r="E931" s="8"/>
      <c r="F931" s="13"/>
      <c r="G931" s="59"/>
      <c r="H931" s="6"/>
      <c r="I931" s="6"/>
      <c r="J931" s="2"/>
      <c r="K931" s="2"/>
      <c r="L931" s="2"/>
      <c r="M931" s="2"/>
      <c r="N931" s="2"/>
      <c r="O931" s="56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2"/>
      <c r="B932" s="8"/>
      <c r="C932" s="8"/>
      <c r="D932" s="8"/>
      <c r="E932" s="8"/>
      <c r="F932" s="13"/>
      <c r="G932" s="59"/>
      <c r="H932" s="6"/>
      <c r="I932" s="6"/>
      <c r="J932" s="2"/>
      <c r="K932" s="2"/>
      <c r="L932" s="2"/>
      <c r="M932" s="2"/>
      <c r="N932" s="2"/>
      <c r="O932" s="56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x14ac:dyDescent="0.25">
      <c r="A933" s="2"/>
      <c r="B933" s="8"/>
      <c r="C933" s="8"/>
      <c r="D933" s="8"/>
      <c r="E933" s="8"/>
      <c r="F933" s="13"/>
      <c r="G933" s="59"/>
      <c r="H933" s="6"/>
      <c r="I933" s="6"/>
      <c r="J933" s="2"/>
      <c r="K933" s="2"/>
      <c r="L933" s="2"/>
      <c r="M933" s="2"/>
      <c r="N933" s="2"/>
      <c r="O933" s="56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x14ac:dyDescent="0.25">
      <c r="A934" s="2"/>
      <c r="B934" s="8"/>
      <c r="C934" s="8"/>
      <c r="D934" s="8"/>
      <c r="E934" s="8"/>
      <c r="F934" s="13"/>
      <c r="G934" s="59"/>
      <c r="H934" s="6"/>
      <c r="I934" s="6"/>
      <c r="J934" s="2"/>
      <c r="K934" s="2"/>
      <c r="L934" s="2"/>
      <c r="M934" s="2"/>
      <c r="N934" s="2"/>
      <c r="O934" s="56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x14ac:dyDescent="0.25">
      <c r="A935" s="2"/>
      <c r="B935" s="8"/>
      <c r="C935" s="8"/>
      <c r="D935" s="8"/>
      <c r="E935" s="8"/>
      <c r="F935" s="13"/>
      <c r="G935" s="59"/>
      <c r="H935" s="6"/>
      <c r="I935" s="6"/>
      <c r="J935" s="2"/>
      <c r="K935" s="2"/>
      <c r="L935" s="2"/>
      <c r="M935" s="2"/>
      <c r="N935" s="2"/>
      <c r="O935" s="56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x14ac:dyDescent="0.25">
      <c r="A936" s="2"/>
      <c r="B936" s="8"/>
      <c r="C936" s="8"/>
      <c r="D936" s="8"/>
      <c r="E936" s="8"/>
      <c r="F936" s="13"/>
      <c r="G936" s="59"/>
      <c r="H936" s="6"/>
      <c r="I936" s="6"/>
      <c r="J936" s="2"/>
      <c r="K936" s="2"/>
      <c r="L936" s="2"/>
      <c r="M936" s="2"/>
      <c r="N936" s="2"/>
      <c r="O936" s="56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x14ac:dyDescent="0.25">
      <c r="A937" s="2"/>
      <c r="B937" s="8"/>
      <c r="C937" s="8"/>
      <c r="D937" s="8"/>
      <c r="E937" s="8"/>
      <c r="F937" s="13"/>
      <c r="G937" s="59"/>
      <c r="H937" s="6"/>
      <c r="I937" s="6"/>
      <c r="J937" s="2"/>
      <c r="K937" s="2"/>
      <c r="L937" s="2"/>
      <c r="M937" s="2"/>
      <c r="N937" s="2"/>
      <c r="O937" s="56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x14ac:dyDescent="0.25">
      <c r="A938" s="2"/>
      <c r="B938" s="8"/>
      <c r="C938" s="8"/>
      <c r="D938" s="8"/>
      <c r="E938" s="8"/>
      <c r="F938" s="13"/>
      <c r="G938" s="59"/>
      <c r="H938" s="6"/>
      <c r="I938" s="6"/>
      <c r="J938" s="2"/>
      <c r="K938" s="2"/>
      <c r="L938" s="2"/>
      <c r="M938" s="2"/>
      <c r="N938" s="2"/>
      <c r="O938" s="56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x14ac:dyDescent="0.25">
      <c r="A939" s="2"/>
      <c r="B939" s="8"/>
      <c r="C939" s="8"/>
      <c r="D939" s="8"/>
      <c r="E939" s="8"/>
      <c r="F939" s="13"/>
      <c r="G939" s="59"/>
      <c r="H939" s="6"/>
      <c r="I939" s="6"/>
      <c r="J939" s="2"/>
      <c r="K939" s="2"/>
      <c r="L939" s="2"/>
      <c r="M939" s="2"/>
      <c r="N939" s="2"/>
      <c r="O939" s="56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x14ac:dyDescent="0.25">
      <c r="A940" s="2"/>
      <c r="B940" s="8"/>
      <c r="C940" s="8"/>
      <c r="D940" s="8"/>
      <c r="E940" s="8"/>
      <c r="F940" s="13"/>
      <c r="G940" s="59"/>
      <c r="H940" s="6"/>
      <c r="I940" s="6"/>
      <c r="J940" s="2"/>
      <c r="K940" s="2"/>
      <c r="L940" s="2"/>
      <c r="M940" s="2"/>
      <c r="N940" s="2"/>
      <c r="O940" s="56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2"/>
      <c r="B941" s="8"/>
      <c r="C941" s="8"/>
      <c r="D941" s="8"/>
      <c r="E941" s="8"/>
      <c r="F941" s="13"/>
      <c r="G941" s="59"/>
      <c r="H941" s="6"/>
      <c r="I941" s="6"/>
      <c r="J941" s="2"/>
      <c r="K941" s="2"/>
      <c r="L941" s="2"/>
      <c r="M941" s="2"/>
      <c r="N941" s="2"/>
      <c r="O941" s="56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x14ac:dyDescent="0.25">
      <c r="A942" s="2"/>
      <c r="B942" s="8"/>
      <c r="C942" s="8"/>
      <c r="D942" s="8"/>
      <c r="E942" s="8"/>
      <c r="F942" s="13"/>
      <c r="G942" s="59"/>
      <c r="H942" s="6"/>
      <c r="I942" s="6"/>
      <c r="J942" s="2"/>
      <c r="K942" s="2"/>
      <c r="L942" s="2"/>
      <c r="M942" s="2"/>
      <c r="N942" s="2"/>
      <c r="O942" s="56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x14ac:dyDescent="0.25">
      <c r="A943" s="2"/>
      <c r="B943" s="8"/>
      <c r="C943" s="8"/>
      <c r="D943" s="8"/>
      <c r="E943" s="8"/>
      <c r="F943" s="13"/>
      <c r="G943" s="59"/>
      <c r="H943" s="6"/>
      <c r="I943" s="6"/>
      <c r="J943" s="2"/>
      <c r="K943" s="2"/>
      <c r="L943" s="2"/>
      <c r="M943" s="2"/>
      <c r="N943" s="2"/>
      <c r="O943" s="56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x14ac:dyDescent="0.25">
      <c r="A944" s="2"/>
      <c r="B944" s="8"/>
      <c r="C944" s="8"/>
      <c r="D944" s="8"/>
      <c r="E944" s="8"/>
      <c r="F944" s="13"/>
      <c r="G944" s="59"/>
      <c r="H944" s="6"/>
      <c r="I944" s="6"/>
      <c r="J944" s="2"/>
      <c r="K944" s="2"/>
      <c r="L944" s="2"/>
      <c r="M944" s="2"/>
      <c r="N944" s="2"/>
      <c r="O944" s="56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x14ac:dyDescent="0.25">
      <c r="A945" s="2"/>
      <c r="B945" s="8"/>
      <c r="C945" s="8"/>
      <c r="D945" s="8"/>
      <c r="E945" s="8"/>
      <c r="F945" s="13"/>
      <c r="G945" s="59"/>
      <c r="H945" s="6"/>
      <c r="I945" s="6"/>
      <c r="J945" s="2"/>
      <c r="K945" s="2"/>
      <c r="L945" s="2"/>
      <c r="M945" s="2"/>
      <c r="N945" s="2"/>
      <c r="O945" s="56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x14ac:dyDescent="0.25">
      <c r="A946" s="2"/>
      <c r="B946" s="8"/>
      <c r="C946" s="8"/>
      <c r="D946" s="8"/>
      <c r="E946" s="8"/>
      <c r="F946" s="13"/>
      <c r="G946" s="59"/>
      <c r="H946" s="6"/>
      <c r="I946" s="6"/>
      <c r="J946" s="2"/>
      <c r="K946" s="2"/>
      <c r="L946" s="2"/>
      <c r="M946" s="2"/>
      <c r="N946" s="2"/>
      <c r="O946" s="56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x14ac:dyDescent="0.25">
      <c r="A947" s="2"/>
      <c r="B947" s="8"/>
      <c r="C947" s="8"/>
      <c r="D947" s="8"/>
      <c r="E947" s="8"/>
      <c r="F947" s="13"/>
      <c r="G947" s="59"/>
      <c r="H947" s="6"/>
      <c r="I947" s="6"/>
      <c r="J947" s="2"/>
      <c r="K947" s="2"/>
      <c r="L947" s="2"/>
      <c r="M947" s="2"/>
      <c r="N947" s="2"/>
      <c r="O947" s="56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x14ac:dyDescent="0.25">
      <c r="A948" s="2"/>
      <c r="B948" s="8"/>
      <c r="C948" s="8"/>
      <c r="D948" s="8"/>
      <c r="E948" s="8"/>
      <c r="F948" s="13"/>
      <c r="G948" s="59"/>
      <c r="H948" s="6"/>
      <c r="I948" s="6"/>
      <c r="J948" s="2"/>
      <c r="K948" s="2"/>
      <c r="L948" s="2"/>
      <c r="M948" s="2"/>
      <c r="N948" s="2"/>
      <c r="O948" s="56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x14ac:dyDescent="0.25">
      <c r="A949" s="2"/>
      <c r="B949" s="8"/>
      <c r="C949" s="8"/>
      <c r="D949" s="8"/>
      <c r="E949" s="8"/>
      <c r="F949" s="13"/>
      <c r="G949" s="59"/>
      <c r="H949" s="6"/>
      <c r="I949" s="6"/>
      <c r="J949" s="2"/>
      <c r="K949" s="2"/>
      <c r="L949" s="2"/>
      <c r="M949" s="2"/>
      <c r="N949" s="2"/>
      <c r="O949" s="56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x14ac:dyDescent="0.25">
      <c r="A950" s="2"/>
      <c r="B950" s="8"/>
      <c r="C950" s="8"/>
      <c r="D950" s="8"/>
      <c r="E950" s="8"/>
      <c r="F950" s="13"/>
      <c r="G950" s="59"/>
      <c r="H950" s="6"/>
      <c r="I950" s="6"/>
      <c r="J950" s="2"/>
      <c r="K950" s="2"/>
      <c r="L950" s="2"/>
      <c r="M950" s="2"/>
      <c r="N950" s="2"/>
      <c r="O950" s="56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x14ac:dyDescent="0.25">
      <c r="A951" s="2"/>
      <c r="B951" s="8"/>
      <c r="C951" s="8"/>
      <c r="D951" s="8"/>
      <c r="E951" s="8"/>
      <c r="F951" s="13"/>
      <c r="G951" s="59"/>
      <c r="H951" s="6"/>
      <c r="I951" s="6"/>
      <c r="J951" s="2"/>
      <c r="K951" s="2"/>
      <c r="L951" s="2"/>
      <c r="M951" s="2"/>
      <c r="N951" s="2"/>
      <c r="O951" s="56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x14ac:dyDescent="0.25">
      <c r="A952" s="2"/>
      <c r="B952" s="8"/>
      <c r="C952" s="8"/>
      <c r="D952" s="8"/>
      <c r="E952" s="8"/>
      <c r="F952" s="13"/>
      <c r="G952" s="59"/>
      <c r="H952" s="6"/>
      <c r="I952" s="6"/>
      <c r="J952" s="2"/>
      <c r="K952" s="2"/>
      <c r="L952" s="2"/>
      <c r="M952" s="2"/>
      <c r="N952" s="2"/>
      <c r="O952" s="56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x14ac:dyDescent="0.25">
      <c r="A953" s="2"/>
      <c r="B953" s="8"/>
      <c r="C953" s="8"/>
      <c r="D953" s="8"/>
      <c r="E953" s="8"/>
      <c r="F953" s="13"/>
      <c r="G953" s="59"/>
      <c r="H953" s="6"/>
      <c r="I953" s="6"/>
      <c r="J953" s="2"/>
      <c r="K953" s="2"/>
      <c r="L953" s="2"/>
      <c r="M953" s="2"/>
      <c r="N953" s="2"/>
      <c r="O953" s="56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x14ac:dyDescent="0.25">
      <c r="A954" s="2"/>
      <c r="B954" s="8"/>
      <c r="C954" s="8"/>
      <c r="D954" s="8"/>
      <c r="E954" s="8"/>
      <c r="F954" s="13"/>
      <c r="G954" s="59"/>
      <c r="H954" s="6"/>
      <c r="I954" s="6"/>
      <c r="J954" s="2"/>
      <c r="K954" s="2"/>
      <c r="L954" s="2"/>
      <c r="M954" s="2"/>
      <c r="N954" s="2"/>
      <c r="O954" s="56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x14ac:dyDescent="0.25">
      <c r="A955" s="2"/>
      <c r="B955" s="8"/>
      <c r="C955" s="8"/>
      <c r="D955" s="8"/>
      <c r="E955" s="8"/>
      <c r="F955" s="13"/>
      <c r="G955" s="59"/>
      <c r="H955" s="6"/>
      <c r="I955" s="6"/>
      <c r="J955" s="2"/>
      <c r="K955" s="2"/>
      <c r="L955" s="2"/>
      <c r="M955" s="2"/>
      <c r="N955" s="2"/>
      <c r="O955" s="56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x14ac:dyDescent="0.25">
      <c r="A956" s="2"/>
      <c r="B956" s="8"/>
      <c r="C956" s="8"/>
      <c r="D956" s="8"/>
      <c r="E956" s="8"/>
      <c r="F956" s="13"/>
      <c r="G956" s="59"/>
      <c r="H956" s="6"/>
      <c r="I956" s="6"/>
      <c r="J956" s="2"/>
      <c r="K956" s="2"/>
      <c r="L956" s="2"/>
      <c r="M956" s="2"/>
      <c r="N956" s="2"/>
      <c r="O956" s="56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x14ac:dyDescent="0.25">
      <c r="A957" s="2"/>
      <c r="B957" s="8"/>
      <c r="C957" s="8"/>
      <c r="D957" s="8"/>
      <c r="E957" s="8"/>
      <c r="F957" s="13"/>
      <c r="G957" s="59"/>
      <c r="H957" s="6"/>
      <c r="I957" s="6"/>
      <c r="J957" s="2"/>
      <c r="K957" s="2"/>
      <c r="L957" s="2"/>
      <c r="M957" s="2"/>
      <c r="N957" s="2"/>
      <c r="O957" s="56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x14ac:dyDescent="0.25">
      <c r="A958" s="2"/>
      <c r="B958" s="8"/>
      <c r="C958" s="8"/>
      <c r="D958" s="8"/>
      <c r="E958" s="8"/>
      <c r="F958" s="13"/>
      <c r="G958" s="59"/>
      <c r="H958" s="6"/>
      <c r="I958" s="6"/>
      <c r="J958" s="2"/>
      <c r="K958" s="2"/>
      <c r="L958" s="2"/>
      <c r="M958" s="2"/>
      <c r="N958" s="2"/>
      <c r="O958" s="56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x14ac:dyDescent="0.25">
      <c r="A959" s="2"/>
      <c r="B959" s="8"/>
      <c r="C959" s="8"/>
      <c r="D959" s="8"/>
      <c r="E959" s="8"/>
      <c r="F959" s="13"/>
      <c r="G959" s="59"/>
      <c r="H959" s="6"/>
      <c r="I959" s="6"/>
      <c r="J959" s="2"/>
      <c r="K959" s="2"/>
      <c r="L959" s="2"/>
      <c r="M959" s="2"/>
      <c r="N959" s="2"/>
      <c r="O959" s="56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x14ac:dyDescent="0.25">
      <c r="A960" s="2"/>
      <c r="B960" s="8"/>
      <c r="C960" s="8"/>
      <c r="D960" s="8"/>
      <c r="E960" s="8"/>
      <c r="F960" s="13"/>
      <c r="G960" s="59"/>
      <c r="H960" s="6"/>
      <c r="I960" s="6"/>
      <c r="J960" s="2"/>
      <c r="K960" s="2"/>
      <c r="L960" s="2"/>
      <c r="M960" s="2"/>
      <c r="N960" s="2"/>
      <c r="O960" s="56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x14ac:dyDescent="0.25">
      <c r="A961" s="2"/>
      <c r="B961" s="8"/>
      <c r="C961" s="8"/>
      <c r="D961" s="8"/>
      <c r="E961" s="8"/>
      <c r="F961" s="13"/>
      <c r="G961" s="59"/>
      <c r="H961" s="6"/>
      <c r="I961" s="6"/>
      <c r="J961" s="2"/>
      <c r="K961" s="2"/>
      <c r="L961" s="2"/>
      <c r="M961" s="2"/>
      <c r="N961" s="2"/>
      <c r="O961" s="56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x14ac:dyDescent="0.25">
      <c r="A962" s="2"/>
      <c r="B962" s="8"/>
      <c r="C962" s="8"/>
      <c r="D962" s="8"/>
      <c r="E962" s="8"/>
      <c r="F962" s="13"/>
      <c r="G962" s="59"/>
      <c r="H962" s="6"/>
      <c r="I962" s="6"/>
      <c r="J962" s="2"/>
      <c r="K962" s="2"/>
      <c r="L962" s="2"/>
      <c r="M962" s="2"/>
      <c r="N962" s="2"/>
      <c r="O962" s="56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x14ac:dyDescent="0.25">
      <c r="A963" s="2"/>
      <c r="B963" s="8"/>
      <c r="C963" s="8"/>
      <c r="D963" s="8"/>
      <c r="E963" s="8"/>
      <c r="F963" s="13"/>
      <c r="G963" s="59"/>
      <c r="H963" s="6"/>
      <c r="I963" s="6"/>
      <c r="J963" s="2"/>
      <c r="K963" s="2"/>
      <c r="L963" s="2"/>
      <c r="M963" s="2"/>
      <c r="N963" s="2"/>
      <c r="O963" s="56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x14ac:dyDescent="0.25">
      <c r="A964" s="2"/>
      <c r="B964" s="8"/>
      <c r="C964" s="8"/>
      <c r="D964" s="8"/>
      <c r="E964" s="8"/>
      <c r="F964" s="13"/>
      <c r="G964" s="59"/>
      <c r="H964" s="6"/>
      <c r="I964" s="6"/>
      <c r="J964" s="2"/>
      <c r="K964" s="2"/>
      <c r="L964" s="2"/>
      <c r="M964" s="2"/>
      <c r="N964" s="2"/>
      <c r="O964" s="56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x14ac:dyDescent="0.25">
      <c r="A965" s="2"/>
      <c r="B965" s="8"/>
      <c r="C965" s="8"/>
      <c r="D965" s="8"/>
      <c r="E965" s="8"/>
      <c r="F965" s="13"/>
      <c r="G965" s="59"/>
      <c r="H965" s="6"/>
      <c r="I965" s="6"/>
      <c r="J965" s="2"/>
      <c r="K965" s="2"/>
      <c r="L965" s="2"/>
      <c r="M965" s="2"/>
      <c r="N965" s="2"/>
      <c r="O965" s="56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x14ac:dyDescent="0.25">
      <c r="A966" s="2"/>
      <c r="B966" s="8"/>
      <c r="C966" s="8"/>
      <c r="D966" s="8"/>
      <c r="E966" s="8"/>
      <c r="F966" s="13"/>
      <c r="G966" s="59"/>
      <c r="H966" s="6"/>
      <c r="I966" s="6"/>
      <c r="J966" s="2"/>
      <c r="K966" s="2"/>
      <c r="L966" s="2"/>
      <c r="M966" s="2"/>
      <c r="N966" s="2"/>
      <c r="O966" s="56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x14ac:dyDescent="0.25">
      <c r="A967" s="2"/>
      <c r="B967" s="8"/>
      <c r="C967" s="8"/>
      <c r="D967" s="8"/>
      <c r="E967" s="8"/>
      <c r="F967" s="13"/>
      <c r="G967" s="59"/>
      <c r="H967" s="6"/>
      <c r="I967" s="6"/>
      <c r="J967" s="2"/>
      <c r="K967" s="2"/>
      <c r="L967" s="2"/>
      <c r="M967" s="2"/>
      <c r="N967" s="2"/>
      <c r="O967" s="56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x14ac:dyDescent="0.25">
      <c r="A968" s="2"/>
      <c r="B968" s="8"/>
      <c r="C968" s="8"/>
      <c r="D968" s="8"/>
      <c r="E968" s="8"/>
      <c r="F968" s="13"/>
      <c r="G968" s="59"/>
      <c r="H968" s="6"/>
      <c r="I968" s="6"/>
      <c r="J968" s="2"/>
      <c r="K968" s="2"/>
      <c r="L968" s="2"/>
      <c r="M968" s="2"/>
      <c r="N968" s="2"/>
      <c r="O968" s="56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x14ac:dyDescent="0.25">
      <c r="A969" s="2"/>
      <c r="B969" s="8"/>
      <c r="C969" s="8"/>
      <c r="D969" s="8"/>
      <c r="E969" s="8"/>
      <c r="F969" s="13"/>
      <c r="G969" s="59"/>
      <c r="H969" s="6"/>
      <c r="I969" s="6"/>
      <c r="J969" s="2"/>
      <c r="K969" s="2"/>
      <c r="L969" s="2"/>
      <c r="M969" s="2"/>
      <c r="N969" s="2"/>
      <c r="O969" s="56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x14ac:dyDescent="0.25">
      <c r="A970" s="2"/>
      <c r="B970" s="8"/>
      <c r="C970" s="8"/>
      <c r="D970" s="8"/>
      <c r="E970" s="8"/>
      <c r="F970" s="13"/>
      <c r="G970" s="59"/>
      <c r="H970" s="6"/>
      <c r="I970" s="6"/>
      <c r="J970" s="2"/>
      <c r="K970" s="2"/>
      <c r="L970" s="2"/>
      <c r="M970" s="2"/>
      <c r="N970" s="2"/>
      <c r="O970" s="56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x14ac:dyDescent="0.25">
      <c r="A971" s="2"/>
      <c r="B971" s="8"/>
      <c r="C971" s="8"/>
      <c r="D971" s="8"/>
      <c r="E971" s="8"/>
      <c r="F971" s="13"/>
      <c r="G971" s="59"/>
      <c r="H971" s="6"/>
      <c r="I971" s="6"/>
      <c r="J971" s="2"/>
      <c r="K971" s="2"/>
      <c r="L971" s="2"/>
      <c r="M971" s="2"/>
      <c r="N971" s="2"/>
      <c r="O971" s="56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x14ac:dyDescent="0.25">
      <c r="A972" s="2"/>
      <c r="B972" s="8"/>
      <c r="C972" s="8"/>
      <c r="D972" s="8"/>
      <c r="E972" s="8"/>
      <c r="F972" s="13"/>
      <c r="G972" s="59"/>
      <c r="H972" s="6"/>
      <c r="I972" s="6"/>
      <c r="J972" s="2"/>
      <c r="K972" s="2"/>
      <c r="L972" s="2"/>
      <c r="M972" s="2"/>
      <c r="N972" s="2"/>
      <c r="O972" s="56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x14ac:dyDescent="0.25">
      <c r="A973" s="2"/>
      <c r="B973" s="8"/>
      <c r="C973" s="8"/>
      <c r="D973" s="8"/>
      <c r="E973" s="8"/>
      <c r="F973" s="13"/>
      <c r="G973" s="59"/>
      <c r="H973" s="6"/>
      <c r="I973" s="6"/>
      <c r="J973" s="2"/>
      <c r="K973" s="2"/>
      <c r="L973" s="2"/>
      <c r="M973" s="2"/>
      <c r="N973" s="2"/>
      <c r="O973" s="56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x14ac:dyDescent="0.25">
      <c r="A974" s="2"/>
      <c r="B974" s="8"/>
      <c r="C974" s="8"/>
      <c r="D974" s="8"/>
      <c r="E974" s="8"/>
      <c r="F974" s="13"/>
      <c r="G974" s="59"/>
      <c r="H974" s="6"/>
      <c r="I974" s="6"/>
      <c r="J974" s="2"/>
      <c r="K974" s="2"/>
      <c r="L974" s="2"/>
      <c r="M974" s="2"/>
      <c r="N974" s="2"/>
      <c r="O974" s="56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x14ac:dyDescent="0.25">
      <c r="A975" s="2"/>
      <c r="B975" s="8"/>
      <c r="C975" s="8"/>
      <c r="D975" s="8"/>
      <c r="E975" s="8"/>
      <c r="F975" s="13"/>
      <c r="G975" s="59"/>
      <c r="H975" s="6"/>
      <c r="I975" s="6"/>
      <c r="J975" s="2"/>
      <c r="K975" s="2"/>
      <c r="L975" s="2"/>
      <c r="M975" s="2"/>
      <c r="N975" s="2"/>
      <c r="O975" s="56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x14ac:dyDescent="0.25">
      <c r="A976" s="2"/>
      <c r="B976" s="8"/>
      <c r="C976" s="8"/>
      <c r="D976" s="8"/>
      <c r="E976" s="8"/>
      <c r="F976" s="13"/>
      <c r="G976" s="59"/>
      <c r="H976" s="6"/>
      <c r="I976" s="6"/>
      <c r="J976" s="2"/>
      <c r="K976" s="2"/>
      <c r="L976" s="2"/>
      <c r="M976" s="2"/>
      <c r="N976" s="2"/>
      <c r="O976" s="56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x14ac:dyDescent="0.25">
      <c r="A977" s="2"/>
      <c r="B977" s="8"/>
      <c r="C977" s="8"/>
      <c r="D977" s="8"/>
      <c r="E977" s="8"/>
      <c r="F977" s="13"/>
      <c r="G977" s="59"/>
      <c r="H977" s="6"/>
      <c r="I977" s="6"/>
      <c r="J977" s="2"/>
      <c r="K977" s="2"/>
      <c r="L977" s="2"/>
      <c r="M977" s="2"/>
      <c r="N977" s="2"/>
      <c r="O977" s="5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x14ac:dyDescent="0.25">
      <c r="A978" s="2"/>
      <c r="B978" s="8"/>
      <c r="C978" s="8"/>
      <c r="D978" s="8"/>
      <c r="E978" s="8"/>
      <c r="F978" s="13"/>
      <c r="G978" s="59"/>
      <c r="H978" s="6"/>
      <c r="I978" s="6"/>
      <c r="J978" s="2"/>
      <c r="K978" s="2"/>
      <c r="L978" s="2"/>
      <c r="M978" s="2"/>
      <c r="N978" s="2"/>
      <c r="O978" s="5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x14ac:dyDescent="0.25">
      <c r="A979" s="2"/>
      <c r="B979" s="8"/>
      <c r="C979" s="8"/>
      <c r="D979" s="8"/>
      <c r="E979" s="8"/>
      <c r="F979" s="13"/>
      <c r="G979" s="59"/>
      <c r="H979" s="6"/>
      <c r="I979" s="6"/>
      <c r="J979" s="2"/>
      <c r="K979" s="2"/>
      <c r="L979" s="2"/>
      <c r="M979" s="2"/>
      <c r="N979" s="2"/>
      <c r="O979" s="5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x14ac:dyDescent="0.25">
      <c r="A980" s="2"/>
      <c r="B980" s="8"/>
      <c r="C980" s="8"/>
      <c r="D980" s="8"/>
      <c r="E980" s="8"/>
      <c r="F980" s="13"/>
      <c r="G980" s="59"/>
      <c r="H980" s="6"/>
      <c r="I980" s="6"/>
      <c r="J980" s="2"/>
      <c r="K980" s="2"/>
      <c r="L980" s="2"/>
      <c r="M980" s="2"/>
      <c r="N980" s="2"/>
      <c r="O980" s="5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x14ac:dyDescent="0.25">
      <c r="A981" s="2"/>
      <c r="B981" s="8"/>
      <c r="C981" s="8"/>
      <c r="D981" s="8"/>
      <c r="E981" s="8"/>
      <c r="F981" s="13"/>
      <c r="G981" s="59"/>
      <c r="H981" s="6"/>
      <c r="I981" s="6"/>
      <c r="J981" s="2"/>
      <c r="K981" s="2"/>
      <c r="L981" s="2"/>
      <c r="M981" s="2"/>
      <c r="N981" s="2"/>
      <c r="O981" s="56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x14ac:dyDescent="0.25">
      <c r="A982" s="2"/>
      <c r="B982" s="8"/>
      <c r="C982" s="8"/>
      <c r="D982" s="8"/>
      <c r="E982" s="8"/>
      <c r="F982" s="13"/>
      <c r="G982" s="59"/>
      <c r="H982" s="6"/>
      <c r="I982" s="6"/>
      <c r="J982" s="2"/>
      <c r="K982" s="2"/>
      <c r="L982" s="2"/>
      <c r="M982" s="2"/>
      <c r="N982" s="2"/>
      <c r="O982" s="56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x14ac:dyDescent="0.25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x14ac:dyDescent="0.25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x14ac:dyDescent="0.25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x14ac:dyDescent="0.25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x14ac:dyDescent="0.25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x14ac:dyDescent="0.25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</sheetData>
  <autoFilter ref="A4:AB811" xr:uid="{00000000-0001-0000-0000-000000000000}">
    <sortState xmlns:xlrd2="http://schemas.microsoft.com/office/spreadsheetml/2017/richdata2" ref="A5:AB854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topLeftCell="H1" zoomScale="90" zoomScaleNormal="90" workbookViewId="0">
      <selection activeCell="R18" sqref="R18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3011</v>
      </c>
      <c r="R1" t="s">
        <v>3012</v>
      </c>
      <c r="S1" t="s">
        <v>3013</v>
      </c>
      <c r="T1" t="s">
        <v>3014</v>
      </c>
    </row>
    <row r="2" spans="1:20" x14ac:dyDescent="0.2">
      <c r="Q2" s="18" t="s">
        <v>1827</v>
      </c>
      <c r="R2" s="19">
        <v>21413</v>
      </c>
      <c r="S2" s="19">
        <v>24000</v>
      </c>
      <c r="T2" s="19">
        <v>17022</v>
      </c>
    </row>
    <row r="3" spans="1:20" x14ac:dyDescent="0.2">
      <c r="A3" s="9" t="s">
        <v>3011</v>
      </c>
      <c r="B3" s="15" t="s">
        <v>3013</v>
      </c>
      <c r="C3" s="15" t="s">
        <v>3012</v>
      </c>
      <c r="D3" t="s">
        <v>3015</v>
      </c>
      <c r="Q3" s="18" t="s">
        <v>2254</v>
      </c>
      <c r="R3" s="19">
        <v>23332</v>
      </c>
      <c r="S3" s="19">
        <v>23999.999999999996</v>
      </c>
      <c r="T3" s="19">
        <v>17642</v>
      </c>
    </row>
    <row r="4" spans="1:20" x14ac:dyDescent="0.2">
      <c r="A4" s="10" t="s">
        <v>2974</v>
      </c>
      <c r="B4" s="15">
        <v>90000.000000000015</v>
      </c>
      <c r="C4" s="15">
        <v>61676</v>
      </c>
      <c r="D4">
        <v>35</v>
      </c>
      <c r="Q4" s="18" t="s">
        <v>2681</v>
      </c>
      <c r="R4" s="19">
        <v>37834</v>
      </c>
      <c r="S4" s="19">
        <v>23999.999999999996</v>
      </c>
      <c r="T4" s="19">
        <v>29549</v>
      </c>
    </row>
    <row r="5" spans="1:20" x14ac:dyDescent="0.2">
      <c r="A5" s="11" t="s">
        <v>47</v>
      </c>
      <c r="B5" s="15">
        <v>90000.000000000015</v>
      </c>
      <c r="C5" s="15">
        <v>61676</v>
      </c>
      <c r="D5">
        <v>35</v>
      </c>
      <c r="Q5" s="18" t="s">
        <v>2974</v>
      </c>
      <c r="R5" s="19">
        <v>28356</v>
      </c>
      <c r="S5" s="19">
        <v>24000</v>
      </c>
      <c r="T5" s="19">
        <v>24262</v>
      </c>
    </row>
    <row r="6" spans="1:20" x14ac:dyDescent="0.2">
      <c r="A6" s="12">
        <v>46249</v>
      </c>
      <c r="B6" s="15">
        <v>15000</v>
      </c>
      <c r="C6" s="15">
        <v>10018</v>
      </c>
      <c r="D6">
        <v>5</v>
      </c>
      <c r="Q6" s="18" t="s">
        <v>3016</v>
      </c>
      <c r="R6" s="19">
        <v>110935</v>
      </c>
      <c r="S6" s="19">
        <v>96000</v>
      </c>
      <c r="T6" s="19">
        <v>88475</v>
      </c>
    </row>
    <row r="7" spans="1:20" x14ac:dyDescent="0.2">
      <c r="A7" s="12">
        <v>46248</v>
      </c>
      <c r="B7" s="15">
        <v>15000</v>
      </c>
      <c r="C7" s="15">
        <v>12349</v>
      </c>
      <c r="D7">
        <v>6</v>
      </c>
    </row>
    <row r="8" spans="1:20" x14ac:dyDescent="0.2">
      <c r="A8" s="12">
        <v>46247</v>
      </c>
      <c r="B8" s="15">
        <v>15000</v>
      </c>
      <c r="C8" s="15">
        <v>12708</v>
      </c>
      <c r="D8">
        <v>6</v>
      </c>
    </row>
    <row r="9" spans="1:20" x14ac:dyDescent="0.2">
      <c r="A9" s="12">
        <v>46246</v>
      </c>
      <c r="B9" s="15">
        <v>15000</v>
      </c>
      <c r="C9" s="15">
        <v>12153</v>
      </c>
      <c r="D9">
        <v>6</v>
      </c>
    </row>
    <row r="10" spans="1:20" x14ac:dyDescent="0.2">
      <c r="A10" s="12">
        <v>46245</v>
      </c>
      <c r="B10" s="15">
        <v>15000</v>
      </c>
      <c r="C10" s="15">
        <v>5587</v>
      </c>
      <c r="D10">
        <v>5</v>
      </c>
    </row>
    <row r="11" spans="1:20" x14ac:dyDescent="0.2">
      <c r="A11" s="12">
        <v>46244</v>
      </c>
      <c r="B11" s="15">
        <v>15000</v>
      </c>
      <c r="C11" s="15">
        <v>8861</v>
      </c>
      <c r="D11">
        <v>7</v>
      </c>
    </row>
    <row r="12" spans="1:20" hidden="1" x14ac:dyDescent="0.2">
      <c r="A12" s="10" t="s">
        <v>3016</v>
      </c>
      <c r="B12" s="15">
        <v>90000.000000000015</v>
      </c>
      <c r="C12" s="15">
        <v>61676</v>
      </c>
      <c r="D12">
        <v>35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3011</v>
      </c>
      <c r="B3" t="s">
        <v>3013</v>
      </c>
      <c r="C3" t="s">
        <v>3017</v>
      </c>
      <c r="O3" s="9" t="s">
        <v>3011</v>
      </c>
      <c r="P3" t="s">
        <v>3013</v>
      </c>
      <c r="Q3" t="s">
        <v>3017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3018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3016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3016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3019</v>
      </c>
      <c r="G3" s="17" t="s">
        <v>3020</v>
      </c>
      <c r="H3" s="17" t="s">
        <v>3021</v>
      </c>
      <c r="I3" s="17" t="s">
        <v>3022</v>
      </c>
      <c r="J3" s="17" t="s">
        <v>3023</v>
      </c>
      <c r="K3" s="17" t="s">
        <v>3024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3025</v>
      </c>
    </row>
    <row r="5" spans="6:11" x14ac:dyDescent="0.2">
      <c r="F5" s="17">
        <v>116</v>
      </c>
      <c r="H5" s="17">
        <v>110</v>
      </c>
      <c r="J5" s="17" t="s">
        <v>3026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3027</v>
      </c>
    </row>
    <row r="3" spans="1:17" x14ac:dyDescent="0.2">
      <c r="A3" s="25" t="s">
        <v>7</v>
      </c>
      <c r="B3" s="25" t="s">
        <v>3028</v>
      </c>
      <c r="C3" s="25" t="s">
        <v>3029</v>
      </c>
      <c r="D3" s="25" t="s">
        <v>3030</v>
      </c>
      <c r="E3" s="25" t="s">
        <v>3031</v>
      </c>
      <c r="F3" s="25" t="s">
        <v>3032</v>
      </c>
      <c r="H3" s="22" t="s">
        <v>3032</v>
      </c>
      <c r="I3" s="22" t="s">
        <v>3028</v>
      </c>
      <c r="J3" s="22" t="s">
        <v>3029</v>
      </c>
      <c r="K3" s="22" t="s">
        <v>3031</v>
      </c>
      <c r="L3" s="22" t="s">
        <v>3033</v>
      </c>
      <c r="M3" s="25" t="s">
        <v>3034</v>
      </c>
      <c r="O3" s="25" t="s">
        <v>7</v>
      </c>
      <c r="P3" s="25" t="s">
        <v>3031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3035</v>
      </c>
      <c r="H4" s="28" t="s">
        <v>3035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3035</v>
      </c>
      <c r="H5" s="28" t="s">
        <v>3036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3035</v>
      </c>
      <c r="H6" s="28" t="s">
        <v>3037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3035</v>
      </c>
      <c r="H7" s="28" t="s">
        <v>3038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3035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3035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3035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3035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3035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3035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3036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3036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3036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3036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3036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3036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3036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3037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3037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3037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3037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3037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3037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3037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3037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3037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3037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3037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3037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3037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3038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3038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3038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3038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3038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3038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3038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3038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3038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3038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3038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3038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3038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3038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3038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3038</v>
      </c>
    </row>
    <row r="50" spans="1:6" x14ac:dyDescent="0.2">
      <c r="A50" s="84" t="s">
        <v>3039</v>
      </c>
      <c r="B50" s="84"/>
      <c r="C50" s="84"/>
      <c r="E50" s="23">
        <f>SUM(E4:E49)</f>
        <v>12900</v>
      </c>
    </row>
    <row r="56" spans="1:6" ht="15.75" x14ac:dyDescent="0.25">
      <c r="A56" s="34" t="s">
        <v>3040</v>
      </c>
    </row>
    <row r="57" spans="1:6" ht="25.5" x14ac:dyDescent="0.2">
      <c r="A57" s="35" t="s">
        <v>3041</v>
      </c>
      <c r="B57" s="36" t="s">
        <v>3042</v>
      </c>
      <c r="C57" s="36" t="s">
        <v>3043</v>
      </c>
      <c r="D57" s="36" t="s">
        <v>3044</v>
      </c>
    </row>
    <row r="58" spans="1:6" x14ac:dyDescent="0.2">
      <c r="A58" s="40" t="s">
        <v>3045</v>
      </c>
      <c r="B58" s="37">
        <v>108384.01</v>
      </c>
      <c r="C58" s="37"/>
      <c r="D58" s="37">
        <v>108384.01</v>
      </c>
    </row>
    <row r="59" spans="1:6" x14ac:dyDescent="0.2">
      <c r="A59" s="40" t="s">
        <v>3046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3047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3048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3049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3050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3051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3052</v>
      </c>
      <c r="B65" s="37">
        <v>23860.793000000001</v>
      </c>
      <c r="C65" s="37"/>
      <c r="D65" s="37"/>
    </row>
    <row r="66" spans="1:4" x14ac:dyDescent="0.2">
      <c r="A66" s="40" t="s">
        <v>3053</v>
      </c>
      <c r="B66" s="37">
        <v>1344.431</v>
      </c>
      <c r="C66" s="37"/>
      <c r="D66" s="37"/>
    </row>
    <row r="67" spans="1:4" x14ac:dyDescent="0.2">
      <c r="A67" s="38" t="s">
        <v>3039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3054</v>
      </c>
      <c r="E2" s="48" t="s">
        <v>3055</v>
      </c>
      <c r="F2" s="48" t="s">
        <v>3056</v>
      </c>
      <c r="G2" s="48" t="s">
        <v>3057</v>
      </c>
      <c r="H2" s="48" t="s">
        <v>3058</v>
      </c>
      <c r="I2" s="48" t="s">
        <v>3059</v>
      </c>
      <c r="J2" s="48" t="s">
        <v>3060</v>
      </c>
      <c r="K2" s="48" t="s">
        <v>3061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cp:lastPrinted>2026-08-17T17:11:06Z</cp:lastPrinted>
  <dcterms:created xsi:type="dcterms:W3CDTF">2026-05-12T12:10:54Z</dcterms:created>
  <dcterms:modified xsi:type="dcterms:W3CDTF">2026-08-19T21:25:01Z</dcterms:modified>
  <cp:category/>
  <cp:contentStatus/>
</cp:coreProperties>
</file>