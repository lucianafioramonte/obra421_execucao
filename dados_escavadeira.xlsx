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755" documentId="8_{CE5C6F22-4BE2-41D0-BCDC-905D26C0C4E3}" xr6:coauthVersionLast="47" xr6:coauthVersionMax="47" xr10:uidLastSave="{E6DE1F98-A1B1-4762-89EB-4EC0F07CFA1F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18" i="1" l="1"/>
  <c r="O819" i="1"/>
  <c r="O828" i="1"/>
  <c r="I828" i="1" s="1"/>
  <c r="O829" i="1"/>
  <c r="O816" i="1"/>
  <c r="O817" i="1"/>
  <c r="I830" i="1"/>
  <c r="I826" i="1"/>
  <c r="I827" i="1"/>
  <c r="I824" i="1"/>
  <c r="I825" i="1"/>
  <c r="I822" i="1"/>
  <c r="I823" i="1"/>
  <c r="I820" i="1"/>
  <c r="I821" i="1"/>
  <c r="I816" i="1"/>
  <c r="I818" i="1"/>
  <c r="I814" i="1"/>
  <c r="I815" i="1"/>
  <c r="I812" i="1"/>
  <c r="I813" i="1"/>
  <c r="O804" i="1"/>
  <c r="O803" i="1" s="1"/>
  <c r="I803" i="1" s="1"/>
  <c r="O798" i="1"/>
  <c r="O797" i="1" s="1"/>
  <c r="I797" i="1" s="1"/>
  <c r="O800" i="1"/>
  <c r="O799" i="1" s="1"/>
  <c r="I799" i="1" s="1"/>
  <c r="I810" i="1"/>
  <c r="I811" i="1"/>
  <c r="I808" i="1"/>
  <c r="I809" i="1"/>
  <c r="I806" i="1"/>
  <c r="I807" i="1"/>
  <c r="I805" i="1"/>
  <c r="I801" i="1"/>
  <c r="I802" i="1"/>
  <c r="I795" i="1"/>
  <c r="I796" i="1"/>
  <c r="I794" i="1"/>
  <c r="I793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<sst xmlns="http://schemas.openxmlformats.org/spreadsheetml/2006/main" count="10560" uniqueCount="3107">
  <si>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</si>
  <si>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</si>
  <si>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</si>
  <si>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</si>
  <si>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</si>
  <si>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</si>
  <si>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</si>
  <si>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</si>
  <si>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</si>
  <si>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</si>
  <si>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</si>
  <si>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</si>
  <si>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</si>
  <si>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</si>
  <si>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</si>
  <si>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</si>
  <si>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</si>
  <si>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</si>
  <si>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</si>
  <si>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</si>
  <si>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</si>
  <si>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</si>
  <si>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</si>
  <si>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</si>
  <si>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</si>
  <si>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</si>
  <si>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</si>
  <si>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</si>
  <si>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</si>
  <si>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</si>
  <si>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</si>
  <si>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</si>
  <si>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</si>
  <si>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</si>
  <si>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</si>
  <si>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</si>
  <si>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</si>
  <si>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</si>
  <si>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</si>
  <si>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</si>
  <si>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</si>
  <si>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</si>
  <si>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</si>
  <si>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</si>
  <si>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</si>
  <si>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</si>
  <si>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</si>
  <si>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</si>
  <si>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</si>
  <si>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</si>
  <si>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</si>
  <si>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</si>
  <si>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</si>
  <si>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</si>
  <si>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</si>
  <si>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</si>
  <si>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</si>
  <si>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</si>
  <si>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</si>
  <si>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</si>
  <si>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</si>
  <si>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</si>
  <si>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</si>
  <si>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</si>
  <si>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</si>
  <si>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</si>
  <si>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</si>
  <si>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</si>
  <si>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</si>
  <si>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</si>
  <si>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</si>
  <si>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</si>
  <si>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</si>
  <si>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</si>
  <si>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</si>
  <si>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</si>
  <si>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</si>
  <si>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</si>
  <si>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</si>
  <si>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</si>
  <si>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</si>
  <si>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</si>
  <si>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</si>
  <si>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</si>
  <si>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</si>
  <si>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</si>
  <si>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</si>
  <si>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</si>
  <si>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</si>
  <si>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</si>
  <si>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</si>
  <si>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</si>
  <si>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</si>
  <si>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</si>
  <si>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</si>
  <si>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</si>
  <si>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</si>
  <si>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</si>
  <si>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</si>
  <si>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</si>
  <si>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</si>
  <si>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</si>
  <si>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</si>
  <si>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</si>
  <si>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</si>
  <si>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</si>
  <si>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</si>
  <si>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</si>
  <si>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</si>
  <si>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</si>
  <si>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</si>
  <si>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</si>
  <si>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</si>
  <si>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</si>
  <si>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</si>
  <si>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</si>
  <si>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</si>
  <si>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</si>
  <si>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</si>
  <si>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</si>
  <si>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</si>
  <si>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</si>
  <si>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</si>
  <si>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</si>
  <si>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</si>
  <si>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</si>
  <si>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</si>
  <si>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</si>
  <si>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</si>
  <si>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</si>
  <si>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</si>
  <si>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</si>
  <si>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</si>
  <si>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</si>
  <si>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</si>
  <si>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</si>
  <si>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</si>
  <si>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</si>
  <si>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</si>
  <si>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</si>
  <si>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</si>
  <si>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</si>
  <si>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</si>
  <si>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</si>
  <si>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</si>
  <si>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</si>
  <si>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</si>
  <si>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</si>
  <si>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</si>
  <si>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</si>
  <si>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</si>
  <si>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</si>
  <si>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</si>
  <si>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</si>
  <si>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</si>
  <si>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</si>
  <si>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</si>
  <si>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</si>
  <si>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</si>
  <si>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</si>
  <si>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</si>
  <si>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</si>
  <si>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</si>
  <si>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</si>
  <si>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</si>
  <si>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</si>
  <si>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</si>
  <si>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</si>
  <si>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</si>
  <si>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</si>
  <si>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</si>
  <si>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</si>
  <si>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</si>
  <si>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</si>
  <si>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</si>
  <si>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</si>
  <si>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</si>
  <si>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</si>
  <si>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</si>
  <si>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</si>
  <si>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</si>
  <si>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</si>
  <si>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</si>
  <si>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</si>
  <si>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</si>
  <si>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</si>
  <si>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</si>
  <si>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</si>
  <si>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</si>
  <si>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</si>
  <si>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</si>
  <si>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</si>
  <si>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</si>
  <si>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</si>
  <si>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</si>
  <si>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</si>
  <si>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</si>
  <si>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</si>
  <si>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</si>
  <si>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</si>
  <si>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</si>
  <si>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</si>
  <si>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</si>
  <si>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</si>
  <si>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</si>
  <si>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</si>
  <si>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</si>
  <si>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</si>
  <si>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</si>
  <si>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</si>
  <si>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</si>
  <si>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</si>
  <si>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</si>
  <si>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</si>
  <si>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</si>
  <si>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</si>
  <si>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</si>
  <si>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</si>
  <si>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</si>
  <si>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</si>
  <si>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</si>
  <si>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</si>
  <si>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</si>
  <si>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</si>
  <si>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</si>
  <si>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</si>
  <si>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</si>
  <si>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</si>
  <si>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</si>
  <si>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</si>
  <si>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</si>
  <si>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</si>
  <si>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</si>
  <si>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</si>
  <si>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</si>
  <si>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</si>
  <si>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</si>
  <si>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</si>
  <si>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</si>
  <si>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</si>
  <si>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</si>
  <si>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</si>
  <si>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</si>
  <si>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</si>
  <si>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</si>
  <si>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</si>
  <si>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</si>
  <si>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</si>
  <si>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</si>
  <si>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</si>
  <si>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</si>
  <si>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</si>
  <si>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</si>
  <si>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</si>
  <si>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</si>
  <si>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</si>
  <si>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</si>
  <si>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</si>
  <si>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</si>
  <si>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</si>
  <si>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</si>
  <si>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</si>
  <si>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</si>
  <si>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</si>
  <si>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</si>
  <si>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</si>
  <si>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</si>
  <si>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</si>
  <si>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</si>
  <si>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</si>
  <si>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</si>
  <si>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</si>
  <si>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</si>
  <si>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</si>
  <si>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</si>
  <si>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</si>
  <si>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</si>
  <si>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</si>
  <si>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</si>
  <si>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</si>
  <si>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</si>
  <si>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</si>
  <si>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</si>
  <si>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</si>
  <si>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</si>
  <si>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</si>
  <si>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</si>
  <si>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</si>
  <si>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</si>
  <si>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</si>
  <si>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</si>
  <si>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</si>
  <si>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</si>
  <si>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</si>
  <si>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</si>
  <si>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</si>
  <si>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</si>
  <si>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</si>
  <si>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</si>
  <si>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</si>
  <si>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</si>
  <si>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</si>
  <si>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</si>
  <si>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</si>
  <si>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</si>
  <si>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</si>
  <si>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</si>
  <si>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</si>
  <si>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</si>
  <si>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</si>
  <si>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</si>
  <si>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</si>
  <si>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</si>
  <si>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</si>
  <si>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</si>
  <si>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</si>
  <si>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</si>
  <si>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</si>
  <si>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</si>
  <si>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</si>
  <si>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</si>
  <si>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</si>
  <si>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</si>
  <si>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</si>
  <si>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</si>
  <si>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</si>
  <si>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</si>
  <si>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</si>
  <si>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</si>
  <si>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</si>
  <si>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</si>
  <si>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</si>
  <si>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</si>
  <si>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</si>
  <si>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</si>
  <si>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</si>
  <si>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</si>
  <si>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</si>
  <si>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</si>
  <si>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</si>
  <si>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</si>
  <si>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</si>
  <si>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</si>
  <si>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</si>
  <si>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</si>
  <si>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</si>
  <si>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</si>
  <si>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</si>
  <si>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</si>
  <si>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</si>
  <si>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</si>
  <si>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</si>
  <si>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</si>
  <si>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</si>
  <si>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</si>
  <si>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</si>
  <si>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</si>
  <si>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</si>
  <si>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</si>
  <si>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</si>
  <si>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</si>
  <si>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</si>
  <si>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</si>
  <si>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</si>
  <si>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</si>
  <si>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</si>
  <si>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</si>
  <si>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</si>
  <si>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</si>
  <si>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</si>
  <si>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</si>
  <si>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</si>
  <si>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</si>
  <si>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</si>
  <si>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</si>
  <si>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</si>
  <si>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</si>
  <si>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</si>
  <si>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</si>
  <si>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</si>
  <si>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</si>
  <si>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</si>
  <si>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</si>
  <si>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</si>
  <si>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</si>
  <si>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</si>
  <si>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</si>
  <si>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</si>
  <si>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</si>
  <si>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</si>
  <si>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</si>
  <si>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</si>
  <si>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</si>
  <si>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</si>
  <si>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</si>
  <si>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</si>
  <si>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</si>
  <si>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</si>
  <si>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</si>
  <si>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</si>
  <si>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</si>
  <si>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</si>
  <si>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</si>
  <si>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</si>
  <si>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</si>
  <si>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</si>
  <si>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</si>
  <si>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</si>
  <si>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</si>
  <si>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</si>
  <si>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</si>
  <si>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</si>
  <si>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</si>
  <si>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</si>
  <si>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</si>
  <si>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</si>
  <si>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</si>
  <si>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</si>
  <si>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</si>
  <si>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</si>
  <si>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</si>
  <si>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</si>
  <si>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</si>
  <si>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</si>
  <si>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</si>
  <si>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</si>
  <si>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</si>
  <si>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</si>
  <si>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</si>
  <si>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</si>
  <si>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</si>
  <si>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</si>
  <si>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</si>
  <si>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</si>
  <si>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</si>
  <si>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</si>
  <si>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</si>
  <si>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</si>
  <si>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</si>
  <si>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</si>
  <si>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</si>
  <si>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</si>
  <si>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</si>
  <si>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</si>
  <si>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</si>
  <si>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</si>
  <si>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</si>
  <si>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</si>
  <si>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</si>
  <si>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</si>
  <si>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</si>
  <si>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</si>
  <si>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</si>
  <si>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</si>
  <si>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</si>
  <si>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</si>
  <si>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</si>
  <si>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</si>
  <si>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</si>
  <si>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</si>
  <si>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</si>
  <si>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</si>
  <si>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</si>
  <si>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</si>
  <si>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</si>
  <si>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</si>
  <si>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</si>
  <si>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</si>
  <si>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</si>
  <si>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</si>
  <si>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</si>
  <si>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</si>
  <si>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</si>
  <si>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</si>
  <si>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</si>
  <si>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</si>
  <si>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</si>
  <si>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</si>
  <si>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</si>
  <si>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</si>
  <si>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</si>
  <si>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</si>
  <si>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</si>
  <si>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</si>
  <si>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</si>
  <si>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</si>
  <si>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</si>
  <si>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</si>
  <si>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</si>
  <si>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</si>
  <si>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</si>
  <si>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</si>
  <si>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</si>
  <si>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</si>
  <si>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</si>
  <si>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</si>
  <si>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</si>
  <si>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</si>
  <si>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</si>
  <si>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</si>
  <si>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</si>
  <si>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</si>
  <si>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</si>
  <si>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</si>
  <si>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</si>
  <si>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</si>
  <si>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</si>
  <si>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</si>
  <si>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</si>
  <si>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</si>
  <si>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</si>
  <si>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</si>
  <si>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</si>
  <si>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</si>
  <si>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</si>
  <si>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</si>
  <si>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</si>
  <si>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</si>
  <si>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</si>
  <si>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</si>
  <si>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</si>
  <si>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</si>
  <si>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</si>
  <si>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</si>
  <si>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</si>
  <si>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</si>
  <si>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</si>
  <si>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</si>
  <si>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</si>
  <si>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</si>
  <si>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</si>
  <si>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</si>
  <si>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</si>
  <si>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</si>
  <si>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</si>
  <si>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</si>
  <si>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</si>
  <si>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</si>
  <si>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</si>
  <si>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</si>
  <si>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</si>
  <si>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</si>
  <si>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</si>
  <si>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</si>
  <si>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</si>
  <si>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</si>
  <si>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</si>
  <si>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</si>
  <si>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</si>
  <si>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</si>
  <si>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</si>
  <si>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</si>
  <si>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</si>
  <si>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</si>
  <si>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</si>
  <si>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</si>
  <si>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</si>
  <si>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</si>
  <si>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</si>
  <si>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</si>
  <si>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</si>
  <si>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</si>
  <si>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</si>
  <si>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</si>
  <si>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</si>
  <si>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</si>
  <si>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</si>
  <si>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</si>
  <si>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</si>
  <si>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</si>
  <si>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</si>
  <si>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</si>
  <si>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</si>
  <si>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</si>
  <si>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</si>
  <si>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</si>
  <si>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</si>
  <si>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</si>
  <si>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</si>
  <si>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</si>
  <si>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</si>
  <si>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</si>
  <si>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</si>
  <si>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</si>
  <si>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</si>
  <si>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</si>
  <si>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</si>
  <si>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</si>
  <si>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</si>
  <si>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</si>
  <si>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</si>
  <si>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</si>
  <si>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</si>
  <si>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</si>
  <si>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</si>
  <si>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</si>
  <si>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</si>
  <si>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</si>
  <si>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</si>
  <si>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</si>
  <si>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</si>
  <si>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</si>
  <si>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</si>
  <si>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</si>
  <si>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</si>
  <si>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</si>
  <si>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</si>
  <si>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</si>
  <si>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</si>
  <si>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</si>
  <si>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</si>
  <si>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</si>
  <si>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</si>
  <si>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</si>
  <si>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</si>
  <si>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</si>
  <si>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</si>
  <si>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</si>
  <si>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</si>
  <si>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</si>
  <si>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</si>
  <si>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</si>
  <si>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</si>
  <si>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</si>
  <si>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</si>
  <si>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</si>
  <si>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</si>
  <si>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</si>
  <si>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</si>
  <si>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</si>
  <si>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</si>
  <si>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</si>
  <si>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</si>
  <si>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</si>
  <si>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</si>
  <si>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</si>
  <si>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</si>
  <si>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</si>
  <si>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</si>
  <si>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</si>
  <si>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</si>
  <si>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</si>
  <si>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</si>
  <si>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</si>
  <si>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</si>
  <si>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</si>
  <si>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</si>
  <si>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</si>
  <si>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</si>
  <si>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</si>
  <si>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</si>
  <si>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</si>
  <si>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</si>
  <si>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</si>
  <si>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</si>
  <si>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</si>
  <si>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</si>
  <si>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</si>
  <si>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</si>
  <si>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</si>
  <si>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</si>
  <si>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</si>
  <si>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</si>
  <si>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</si>
  <si>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</si>
  <si>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</si>
  <si>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</si>
  <si>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</si>
  <si>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</si>
  <si>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</si>
  <si>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</si>
  <si>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</si>
  <si>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</si>
  <si>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</si>
  <si>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</si>
  <si>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</si>
  <si>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</si>
  <si>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</si>
  <si>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</si>
  <si>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</si>
  <si>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</si>
  <si>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</si>
  <si>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</si>
  <si>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</si>
  <si>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</si>
  <si>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</si>
  <si>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</si>
  <si>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</si>
  <si>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</si>
  <si>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</si>
  <si>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</si>
  <si>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</si>
  <si>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</si>
  <si>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</si>
  <si>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</si>
  <si>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</si>
  <si>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</si>
  <si>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</si>
  <si>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</si>
  <si>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</si>
  <si>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</si>
  <si>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</si>
  <si>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</si>
  <si>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</si>
  <si>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</si>
  <si>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</si>
  <si>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</si>
  <si>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</si>
  <si>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</si>
  <si>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</si>
  <si>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</si>
  <si>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</si>
  <si>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</si>
  <si>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</si>
  <si>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</si>
  <si>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</si>
  <si>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</si>
  <si>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</si>
  <si>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</si>
  <si>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</si>
  <si>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</si>
  <si>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</si>
  <si>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</si>
  <si>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</si>
  <si>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</si>
  <si>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</si>
  <si>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</si>
  <si>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</si>
  <si>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</si>
  <si>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</si>
  <si>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</si>
  <si>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</si>
  <si>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</si>
  <si>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</si>
  <si>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</si>
  <si>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</si>
  <si>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</si>
  <si>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</si>
  <si>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</si>
  <si>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</si>
  <si>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</si>
  <si>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</si>
  <si>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</si>
  <si>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</si>
  <si>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</si>
  <si>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</si>
  <si>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</si>
  <si>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</si>
  <si>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</si>
  <si>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</si>
  <si>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</si>
  <si>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</si>
  <si>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</si>
  <si>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</si>
  <si>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</si>
  <si>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</si>
  <si>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</si>
  <si>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</si>
  <si>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</si>
  <si>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</si>
  <si>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</si>
  <si>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</si>
  <si>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</si>
  <si>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</si>
  <si>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</si>
  <si>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</si>
  <si>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</si>
  <si>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</si>
  <si>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</si>
  <si>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</si>
  <si>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</si>
  <si>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</si>
  <si>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</si>
  <si>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</si>
  <si>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</si>
  <si>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</si>
  <si>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</si>
  <si>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</si>
  <si>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</si>
  <si>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</si>
  <si>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</si>
  <si>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</si>
  <si>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</si>
  <si>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</si>
  <si>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</si>
  <si>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</si>
  <si>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</si>
  <si>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</si>
  <si>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</si>
  <si>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</si>
  <si>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</si>
  <si>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</si>
  <si>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</si>
  <si>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</si>
  <si>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</si>
  <si>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</si>
  <si>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</si>
  <si>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</si>
  <si>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</si>
  <si>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</si>
  <si>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</si>
  <si>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</si>
  <si>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</si>
  <si>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</si>
  <si>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</si>
  <si>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</si>
  <si>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</si>
  <si>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</si>
  <si>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</si>
  <si>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</si>
  <si>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</si>
  <si>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</si>
  <si>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</si>
  <si>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</si>
  <si>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</si>
  <si>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</si>
  <si>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</si>
  <si>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</si>
  <si>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</si>
  <si>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</si>
  <si>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</si>
  <si>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</si>
  <si>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</si>
  <si>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</si>
  <si>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</si>
  <si>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</si>
  <si>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</si>
  <si>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</si>
  <si>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</si>
  <si>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</si>
  <si>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</si>
  <si>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</si>
  <si>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</si>
  <si>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</si>
  <si>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</si>
  <si>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</si>
  <si>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</si>
  <si>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</si>
  <si>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</si>
  <si>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</si>
  <si>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</si>
  <si>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</si>
  <si>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</si>
  <si>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</si>
  <si>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</si>
  <si>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</si>
  <si>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</si>
  <si>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</si>
  <si>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</si>
  <si>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</si>
  <si>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</si>
  <si>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</si>
  <si>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</si>
  <si>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</si>
  <si>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</si>
  <si>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</si>
  <si>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</si>
  <si>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</si>
  <si>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</si>
  <si>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</si>
  <si>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</si>
  <si>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</si>
  <si>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</si>
  <si>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</si>
  <si>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</si>
  <si>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</si>
  <si>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</si>
  <si>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</si>
  <si>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</si>
  <si>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</si>
  <si>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</si>
  <si>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</si>
  <si>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</si>
  <si>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</si>
  <si>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</si>
  <si>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</si>
  <si>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</si>
  <si>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</si>
  <si>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</si>
  <si>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</si>
  <si>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</si>
  <si>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</si>
  <si>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</si>
  <si>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</si>
  <si>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</si>
  <si>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</si>
  <si>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</si>
  <si>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</si>
  <si>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</si>
  <si>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</si>
  <si>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</si>
  <si>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</si>
  <si>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</si>
  <si>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</si>
  <si>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</si>
  <si>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</si>
  <si>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</si>
  <si>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</si>
  <si>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</si>
  <si>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</si>
  <si>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</si>
  <si>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</si>
  <si>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</si>
  <si>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</si>
  <si>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</si>
  <si>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</si>
  <si>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</si>
  <si>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</si>
  <si>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</si>
  <si>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</si>
  <si>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</si>
  <si>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</si>
  <si>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</si>
  <si>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</si>
  <si>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</si>
  <si>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</si>
  <si>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</si>
  <si>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</si>
  <si>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</si>
  <si>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</si>
  <si>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</si>
  <si>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</si>
  <si>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</si>
  <si>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</si>
  <si>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</si>
  <si>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</si>
  <si>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</si>
  <si>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</si>
  <si>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</si>
  <si>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</si>
  <si>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</si>
  <si>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</si>
  <si>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</si>
  <si>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</si>
  <si>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</si>
  <si>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</si>
  <si>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</si>
  <si>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</si>
  <si>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</si>
  <si>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</si>
  <si>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</si>
  <si>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</si>
  <si>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</si>
  <si>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</si>
  <si>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</si>
  <si>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</si>
  <si>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</si>
  <si>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</si>
  <si>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</si>
  <si>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</si>
  <si>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</si>
  <si>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</si>
  <si>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</si>
  <si>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</si>
  <si>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</si>
  <si>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</si>
  <si>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</si>
  <si>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</si>
  <si>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</si>
  <si>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</si>
  <si>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</si>
  <si>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</si>
  <si>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</si>
  <si>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</si>
  <si>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</si>
  <si>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</si>
  <si>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</si>
  <si>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</si>
  <si>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</si>
  <si>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</si>
  <si>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</si>
  <si>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</si>
  <si>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</si>
  <si>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</si>
  <si>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</si>
  <si>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</si>
  <si>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</si>
  <si>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</si>
  <si>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</si>
  <si>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</si>
  <si>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</si>
  <si>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</si>
  <si>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</si>
  <si>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</si>
  <si>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</si>
  <si>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</si>
  <si>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</si>
  <si>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</si>
  <si>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</si>
  <si>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</si>
  <si>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</si>
  <si>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</si>
  <si>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</si>
  <si>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</si>
  <si>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</si>
  <si>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</si>
  <si>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</si>
  <si>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</si>
  <si>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</si>
  <si>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</si>
  <si>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</si>
  <si>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</si>
  <si>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</si>
  <si>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</si>
  <si>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</si>
  <si>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</si>
  <si>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</si>
  <si>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</si>
  <si>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</si>
  <si>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</si>
  <si>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</si>
  <si>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</si>
  <si>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</si>
  <si>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</si>
  <si>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</si>
  <si>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</si>
  <si>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</si>
  <si>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</si>
  <si>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</si>
  <si>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</si>
  <si>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</si>
  <si>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</si>
  <si>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</si>
  <si>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</si>
  <si>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</si>
  <si>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</si>
  <si>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</si>
  <si>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</si>
  <si>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</si>
  <si>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</si>
  <si>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</si>
  <si>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</si>
  <si>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</si>
  <si>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</si>
  <si>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</si>
  <si>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</si>
  <si>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</si>
  <si>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</si>
  <si>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</si>
  <si>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</si>
  <si>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</si>
  <si>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</si>
  <si>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</si>
  <si>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</si>
  <si>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</si>
  <si>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</si>
  <si>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</si>
  <si>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</si>
  <si>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</si>
  <si>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</si>
  <si>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</si>
  <si>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</si>
  <si>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</si>
  <si>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</si>
  <si>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</si>
  <si>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</si>
  <si>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</si>
  <si>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</si>
  <si>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</si>
  <si>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</si>
  <si>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</si>
  <si>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</si>
  <si>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</si>
  <si>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</si>
  <si>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</si>
  <si>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</si>
  <si>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</si>
  <si>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</si>
  <si>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</si>
  <si>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</si>
  <si>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</si>
  <si>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</si>
  <si>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</si>
  <si>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</si>
  <si>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</si>
  <si>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</si>
  <si>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</si>
  <si>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</si>
  <si>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</si>
  <si>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</si>
  <si>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</si>
  <si>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</si>
  <si>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</si>
  <si>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</si>
  <si>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</si>
  <si>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</si>
  <si>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</si>
  <si>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</si>
  <si>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</si>
  <si>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</si>
  <si>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</si>
  <si>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</si>
  <si>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</si>
  <si>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</si>
  <si>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</si>
  <si>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</si>
  <si>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</si>
  <si>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</si>
  <si>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</si>
  <si>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</si>
  <si>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</si>
  <si>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</si>
  <si>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</si>
  <si>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</si>
  <si>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</si>
  <si>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</si>
  <si>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</si>
  <si>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</si>
  <si>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</si>
  <si>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</si>
  <si>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</si>
  <si>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</si>
  <si>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</si>
  <si>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</si>
  <si>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</si>
  <si>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</si>
  <si>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</si>
  <si>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</si>
  <si>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</si>
  <si>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</si>
  <si>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</si>
  <si>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</si>
  <si>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</si>
  <si>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</si>
  <si>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</si>
  <si>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</si>
  <si>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</si>
  <si>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</si>
  <si>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</si>
  <si>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</si>
  <si>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</si>
  <si>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</si>
  <si>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</si>
  <si>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</si>
  <si>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</si>
  <si>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</si>
  <si>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</si>
  <si>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</si>
  <si>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</si>
  <si>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</si>
  <si>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</si>
  <si>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</si>
  <si>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</si>
  <si>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</si>
  <si>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</si>
  <si>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</si>
  <si>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</si>
  <si>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</si>
  <si>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</si>
  <si>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</si>
  <si>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</si>
  <si>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</si>
  <si>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</si>
  <si>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</si>
  <si>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</si>
  <si>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</si>
  <si>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</si>
  <si>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</si>
  <si>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</si>
  <si>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</si>
  <si>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</si>
  <si>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</si>
  <si>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</si>
  <si>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</si>
  <si>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</si>
  <si>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</si>
  <si>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</si>
  <si>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</si>
  <si>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</si>
  <si>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</si>
  <si>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</si>
  <si>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</si>
  <si>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</si>
  <si>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</si>
  <si>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</si>
  <si>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</si>
  <si>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</si>
  <si>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</si>
  <si>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</si>
  <si>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</si>
  <si>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</si>
  <si>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</si>
  <si>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</si>
  <si>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</si>
  <si>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</si>
  <si>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</si>
  <si>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</si>
  <si>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</si>
  <si>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</si>
  <si>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</si>
  <si>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</si>
  <si>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</si>
  <si>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</si>
  <si>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</si>
  <si>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</si>
  <si>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</si>
  <si>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</si>
  <si>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</si>
  <si>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</si>
  <si>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</si>
  <si>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</si>
  <si>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</si>
  <si>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</si>
  <si>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</si>
  <si>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</si>
  <si>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</si>
  <si>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</si>
  <si>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</si>
  <si>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</si>
  <si>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</si>
  <si>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</si>
  <si>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</si>
  <si>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</si>
  <si>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</si>
  <si>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</si>
  <si>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</si>
  <si>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</si>
  <si>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</si>
  <si>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</si>
  <si>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</si>
  <si>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</si>
  <si>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</si>
  <si>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</si>
  <si>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</si>
  <si>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</si>
  <si>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</si>
  <si>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</si>
  <si>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</si>
  <si>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</si>
  <si>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</si>
  <si>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</si>
  <si>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</si>
  <si>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</si>
  <si>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</si>
  <si>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</si>
  <si>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</si>
  <si>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</si>
  <si>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</si>
  <si>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</si>
  <si>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</si>
  <si>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</si>
  <si>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</si>
  <si>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</si>
  <si>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</si>
  <si>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</si>
  <si>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</si>
  <si>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</si>
  <si>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</si>
  <si>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</si>
  <si>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</si>
  <si>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</si>
  <si>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</si>
  <si>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</si>
  <si>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</si>
  <si>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</si>
  <si>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</si>
  <si>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</si>
  <si>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</si>
  <si>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</si>
  <si>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</si>
  <si>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</si>
  <si>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</si>
  <si>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</si>
  <si>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</si>
  <si>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</si>
  <si>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</si>
  <si>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</si>
  <si>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</si>
  <si>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</si>
  <si>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</si>
  <si>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</si>
  <si>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</si>
  <si>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</si>
  <si>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</si>
  <si>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</si>
  <si>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</si>
  <si>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</si>
  <si>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</si>
  <si>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</si>
  <si>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</si>
  <si>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</si>
  <si>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</si>
  <si>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</si>
  <si>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</si>
  <si>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</si>
  <si>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</si>
  <si>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</si>
  <si>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</si>
  <si>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</si>
  <si>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</si>
  <si>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</si>
  <si>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</si>
  <si>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</si>
  <si>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</si>
  <si>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</si>
  <si>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</si>
  <si>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</si>
  <si>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</si>
  <si>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</si>
  <si>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</si>
  <si>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</si>
  <si>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</si>
  <si>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</si>
  <si>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</si>
  <si>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</si>
  <si>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</si>
  <si>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</si>
  <si>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</si>
  <si>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</si>
  <si>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</si>
  <si>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</si>
  <si>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</si>
  <si>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</si>
  <si>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</si>
  <si>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</si>
  <si>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</si>
  <si>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</si>
  <si>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</si>
  <si>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</si>
  <si>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</si>
  <si>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</si>
  <si>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</si>
  <si>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</si>
  <si>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</si>
  <si>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</si>
  <si>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</si>
  <si>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</si>
  <si>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</si>
  <si>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</si>
  <si>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</si>
  <si>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</si>
  <si>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</si>
  <si>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</si>
  <si>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</si>
  <si>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</si>
  <si>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</si>
  <si>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</si>
  <si>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</si>
  <si>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</si>
  <si>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</si>
  <si>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</si>
  <si>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</si>
  <si>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</si>
  <si>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</si>
  <si>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</si>
  <si>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</si>
  <si>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</si>
  <si>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</si>
  <si>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</si>
  <si>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</si>
  <si>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</si>
  <si>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</si>
  <si>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</si>
  <si>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</si>
  <si>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</si>
  <si>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</si>
  <si>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</si>
  <si>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</si>
  <si>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</si>
  <si>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</si>
  <si>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</si>
  <si>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</si>
  <si>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</si>
  <si>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</si>
  <si>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</si>
  <si>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</si>
  <si>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</si>
  <si>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</si>
  <si>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</si>
  <si>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</si>
  <si>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</si>
  <si>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</si>
  <si>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</si>
  <si>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</si>
  <si>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</si>
  <si>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</si>
  <si>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</si>
  <si>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</si>
  <si>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</si>
  <si>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</si>
  <si>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</si>
  <si>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</si>
  <si>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</si>
  <si>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</si>
  <si>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</si>
  <si>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</si>
  <si>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</si>
  <si>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</si>
  <si>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</si>
  <si>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</si>
  <si>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</si>
  <si>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</si>
  <si>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</si>
  <si>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</si>
  <si>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</si>
  <si>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</si>
  <si>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</si>
  <si>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</si>
  <si>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</si>
  <si>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</si>
  <si>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</si>
  <si>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</si>
  <si>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</si>
  <si>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</si>
  <si>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</si>
  <si>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</si>
  <si>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</si>
  <si>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</si>
  <si>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</si>
  <si>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</si>
  <si>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</si>
  <si>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</si>
  <si>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</si>
  <si>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</si>
  <si>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</si>
  <si>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</si>
  <si>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</si>
  <si>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</si>
  <si>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</si>
  <si>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</si>
  <si>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</si>
  <si>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</si>
  <si>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</si>
  <si>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</si>
  <si>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</si>
  <si>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</si>
  <si>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</si>
  <si>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</si>
  <si>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</si>
  <si>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</si>
  <si>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</si>
  <si>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</si>
  <si>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</si>
  <si>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</si>
  <si>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</si>
  <si>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</si>
  <si>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</si>
  <si>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</si>
  <si>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</si>
  <si>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</si>
  <si>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</si>
  <si>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</si>
  <si>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</si>
  <si>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</si>
  <si>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</si>
  <si>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</si>
  <si>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</si>
  <si>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</si>
  <si>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</si>
  <si>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</si>
  <si>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</si>
  <si>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</si>
  <si>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</si>
  <si>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</si>
  <si>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</si>
  <si>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</si>
  <si>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</si>
  <si>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</si>
  <si>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</si>
  <si>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</si>
  <si>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</si>
  <si>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</si>
  <si>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</si>
  <si>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</si>
  <si>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</si>
  <si>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</si>
  <si>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</si>
  <si>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</si>
  <si>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</si>
  <si>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</si>
  <si>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</si>
  <si>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</si>
  <si>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</si>
  <si>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</si>
  <si>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</si>
  <si>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</si>
  <si>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</si>
  <si>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</si>
  <si>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</si>
  <si>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</si>
  <si>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</si>
  <si>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</si>
  <si>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</si>
  <si>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</si>
  <si>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</si>
  <si>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</si>
  <si>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</si>
  <si>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</si>
  <si>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</si>
  <si>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</si>
  <si>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</si>
  <si>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</si>
  <si>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</si>
  <si>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</si>
  <si>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</si>
  <si>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</si>
  <si>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</si>
  <si>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</si>
  <si>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</si>
  <si>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</si>
  <si>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</si>
  <si>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</si>
  <si>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</si>
  <si>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</si>
  <si>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</si>
  <si>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</si>
  <si>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</si>
  <si>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</si>
  <si>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</si>
  <si>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</si>
  <si>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</si>
  <si>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</si>
  <si>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</si>
  <si>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</si>
  <si>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</si>
  <si>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</si>
  <si>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</si>
  <si>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</si>
  <si>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</si>
  <si>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</si>
  <si>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</si>
  <si>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</si>
  <si>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</si>
  <si>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</si>
  <si>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</si>
  <si>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</si>
  <si>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</si>
  <si>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</si>
  <si>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</si>
  <si>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</si>
  <si>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</si>
  <si>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</si>
  <si>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</si>
  <si>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</si>
  <si>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</si>
  <si>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</si>
  <si>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</si>
  <si>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</si>
  <si>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</si>
  <si>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</si>
  <si>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</si>
  <si>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</si>
  <si>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</si>
  <si>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</si>
  <si>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</si>
  <si>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</si>
  <si>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</si>
  <si>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</si>
  <si>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</si>
  <si>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</si>
  <si>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</si>
  <si>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</si>
  <si>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</si>
  <si>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</si>
  <si>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</si>
  <si>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</si>
  <si>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</si>
  <si>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</si>
  <si>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</si>
  <si>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</si>
  <si>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</si>
  <si>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</si>
  <si>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</si>
  <si>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</si>
  <si>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</si>
  <si>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</si>
  <si>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</si>
  <si>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</si>
  <si>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</si>
  <si>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</si>
  <si>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</si>
  <si>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</si>
  <si>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</si>
  <si>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</si>
  <si>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</si>
  <si>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</si>
  <si>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</si>
  <si>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</si>
  <si>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</si>
  <si>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</si>
  <si>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</si>
  <si>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</si>
  <si>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</si>
  <si>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</si>
  <si>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</si>
  <si>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</si>
  <si>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</si>
  <si>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</si>
  <si>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</si>
  <si>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</si>
  <si>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</si>
  <si>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</si>
  <si>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</si>
  <si>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</si>
  <si>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</si>
  <si>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</si>
  <si>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</si>
  <si>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</si>
  <si>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</si>
  <si>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</si>
  <si>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</si>
  <si>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</si>
  <si>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</si>
  <si>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</si>
  <si>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</si>
  <si>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</si>
  <si>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</si>
  <si>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</si>
  <si>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</si>
  <si>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</si>
  <si>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</si>
  <si>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</si>
  <si>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</si>
  <si>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</si>
  <si>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</si>
  <si>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</si>
  <si>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</si>
  <si>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</si>
  <si>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</si>
  <si>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</si>
  <si>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</si>
  <si>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</si>
  <si>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</si>
  <si>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</si>
  <si>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</si>
  <si>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</si>
  <si>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</si>
  <si>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</si>
  <si>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</si>
  <si>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</si>
  <si>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</si>
  <si>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</si>
  <si>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</si>
  <si>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</si>
  <si>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</si>
  <si>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</si>
  <si>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</si>
  <si>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</si>
  <si>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</si>
  <si>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</si>
  <si>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</si>
  <si>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</si>
  <si>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</si>
  <si>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</si>
  <si>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</si>
  <si>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</si>
  <si>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</si>
  <si>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</si>
  <si>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</si>
  <si>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</si>
  <si>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</si>
  <si>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</si>
  <si>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</si>
  <si>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</si>
  <si>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</si>
  <si>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</si>
  <si>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</si>
  <si>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</si>
  <si>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</si>
  <si>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</si>
  <si>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</si>
  <si>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</si>
  <si>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</si>
  <si>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</si>
  <si>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</si>
  <si>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</si>
  <si>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</si>
  <si>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</si>
  <si>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</si>
  <si>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</si>
  <si>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</si>
  <si>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</si>
  <si>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</si>
  <si>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</si>
  <si>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</si>
  <si>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</si>
  <si>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</si>
  <si>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</si>
  <si>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</si>
  <si>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</si>
  <si>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</si>
  <si>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</si>
  <si>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</si>
  <si>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</si>
  <si>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</si>
  <si>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</si>
  <si>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</si>
  <si>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</si>
  <si>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</si>
  <si>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</si>
  <si>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</si>
  <si>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</si>
  <si>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</si>
  <si>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</si>
  <si>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</si>
  <si>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</si>
  <si>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</si>
  <si>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</si>
  <si>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</si>
  <si>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</si>
  <si>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</si>
  <si>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</si>
  <si>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</si>
  <si>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</si>
  <si>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</si>
  <si>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</si>
  <si>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</si>
  <si>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</si>
  <si>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</si>
  <si>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</si>
  <si>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</si>
  <si>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</si>
  <si>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</si>
  <si>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</si>
  <si>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</si>
  <si>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</si>
  <si>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</si>
  <si>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</si>
  <si>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</si>
  <si>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</si>
  <si>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</si>
  <si>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</si>
  <si>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</si>
  <si>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</si>
  <si>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</si>
  <si>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</si>
  <si>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</si>
  <si>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</si>
  <si>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</si>
  <si>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</si>
  <si>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</si>
  <si>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</si>
  <si>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</si>
  <si>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</si>
  <si>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</si>
  <si>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</si>
  <si>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</si>
  <si>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</si>
  <si>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</si>
  <si>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</si>
  <si>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</si>
  <si>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</si>
  <si>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</si>
  <si>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</si>
  <si>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</si>
  <si>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</si>
  <si>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</si>
  <si>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</si>
  <si>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</si>
  <si>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</si>
  <si>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</si>
  <si>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</si>
  <si>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</si>
  <si>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</si>
  <si>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</si>
  <si>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</si>
  <si>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</si>
  <si>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</si>
  <si>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</si>
  <si>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</si>
  <si>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</si>
  <si>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</si>
  <si>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</si>
  <si>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</si>
  <si>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</si>
  <si>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</si>
  <si>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</si>
  <si>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</si>
  <si>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</si>
  <si>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</si>
  <si>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</si>
  <si>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</si>
  <si>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</si>
  <si>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</si>
  <si>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</si>
  <si>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</si>
  <si>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</si>
  <si>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</si>
  <si>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</si>
  <si>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</si>
  <si>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</si>
  <si>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</si>
  <si>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</si>
  <si>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</si>
  <si>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</si>
  <si>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</si>
  <si>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</si>
  <si>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</si>
  <si>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</si>
  <si>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</si>
  <si>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</si>
  <si>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</si>
  <si>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</si>
  <si>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</si>
  <si>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</si>
  <si>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</si>
  <si>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</si>
  <si>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</si>
  <si>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</si>
  <si>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</si>
  <si>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</si>
  <si>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</si>
  <si>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</si>
  <si>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</si>
  <si>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</si>
  <si>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</si>
  <si>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</si>
  <si>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</si>
  <si>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</si>
  <si>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</si>
  <si>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</si>
  <si>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</si>
  <si>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</si>
  <si>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</si>
  <si>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</si>
  <si>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</si>
  <si>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</si>
  <si>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</si>
  <si>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</si>
  <si>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</si>
  <si>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</si>
  <si>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</si>
  <si>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</si>
  <si>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</si>
  <si>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</si>
  <si>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</si>
  <si>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</si>
  <si>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</si>
  <si>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</si>
  <si>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</si>
  <si>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</si>
  <si>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</si>
  <si>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</si>
  <si>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</si>
  <si>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</si>
  <si>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</si>
  <si>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</si>
  <si>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</si>
  <si>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</si>
  <si>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</si>
  <si>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</si>
  <si>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</si>
  <si>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</si>
  <si>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</si>
  <si>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</si>
  <si>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</si>
  <si>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</si>
  <si>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</si>
  <si>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</si>
  <si>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</si>
  <si>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</si>
  <si>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</si>
  <si>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</si>
  <si>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</si>
  <si>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</si>
  <si>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</si>
  <si>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</si>
  <si>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</si>
  <si>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</si>
  <si>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</si>
  <si>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</si>
  <si>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</si>
  <si>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</si>
  <si>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</si>
  <si>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</si>
  <si>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</si>
  <si>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</si>
  <si>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</si>
  <si>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</si>
  <si>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</si>
  <si>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</si>
  <si>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</si>
  <si>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</si>
  <si>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</si>
  <si>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</si>
  <si>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</si>
  <si>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</si>
  <si>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</si>
  <si>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</si>
  <si>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</si>
  <si>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</si>
  <si>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</si>
  <si>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</si>
  <si>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</si>
  <si>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</si>
  <si>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</si>
  <si>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</si>
  <si>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</si>
  <si>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</si>
  <si>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</si>
  <si>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</si>
  <si>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</si>
  <si>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</si>
  <si>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</si>
  <si>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</si>
  <si>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</si>
  <si>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</si>
  <si>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</si>
  <si>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</si>
  <si>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</si>
  <si>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</si>
  <si>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</si>
  <si>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</si>
  <si>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</si>
  <si>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</si>
  <si>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</si>
  <si>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</si>
  <si>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</si>
  <si>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</si>
  <si>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</si>
  <si>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</si>
  <si>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</si>
  <si>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</si>
  <si>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</si>
  <si>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</si>
  <si>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</si>
  <si>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</si>
  <si>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</si>
  <si>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</si>
  <si>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</si>
  <si>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</si>
  <si>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</si>
  <si>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</si>
  <si>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</si>
  <si>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</si>
  <si>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</si>
  <si>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</si>
  <si>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</si>
  <si>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</si>
  <si>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</si>
  <si>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</si>
  <si>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</si>
  <si>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</si>
  <si>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</si>
  <si>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</si>
  <si>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</si>
  <si>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</si>
  <si>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</si>
  <si>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</si>
  <si>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</si>
  <si>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</si>
  <si>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</si>
  <si>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</si>
  <si>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</si>
  <si>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</si>
  <si>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</si>
  <si>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</si>
  <si>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</si>
  <si>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</si>
  <si>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</si>
  <si>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</si>
  <si>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</si>
  <si>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</si>
  <si>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</si>
  <si>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</si>
  <si>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</si>
  <si>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</si>
  <si>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</si>
  <si>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</si>
  <si>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</si>
  <si>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</si>
  <si>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</si>
  <si>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</si>
  <si>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</si>
  <si>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</si>
  <si>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</si>
  <si>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</si>
  <si>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</si>
  <si>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</si>
  <si>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</si>
  <si>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</si>
  <si>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</si>
  <si>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</si>
  <si>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</si>
  <si>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</si>
  <si>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</si>
  <si>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</si>
  <si>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</si>
  <si>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</si>
  <si>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</si>
  <si>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</si>
  <si>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</si>
  <si>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</si>
  <si>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</si>
  <si>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</si>
  <si>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</si>
  <si>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</si>
  <si>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</si>
  <si>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</si>
  <si>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</si>
  <si>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</si>
  <si>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</si>
  <si>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</si>
  <si>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</si>
  <si>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</si>
  <si>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</si>
  <si>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</si>
  <si>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</si>
  <si>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</si>
  <si>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</si>
  <si>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</si>
  <si>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</si>
  <si>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</si>
  <si>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</si>
  <si>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</si>
  <si>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</si>
  <si>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</si>
  <si>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</si>
  <si>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</si>
  <si>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</si>
  <si>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</si>
  <si>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</si>
  <si>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</si>
  <si>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</si>
  <si>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</si>
  <si>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</si>
  <si>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</si>
  <si>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</si>
  <si>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</si>
  <si>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</si>
  <si>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</si>
  <si>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</si>
  <si>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</si>
  <si>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</si>
  <si>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</si>
  <si>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</si>
  <si>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</si>
  <si>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</si>
  <si>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</si>
  <si>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</si>
  <si>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</si>
  <si>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</si>
  <si>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</si>
  <si>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</si>
  <si>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</si>
  <si>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</si>
  <si>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</si>
  <si>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</si>
  <si>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</si>
  <si>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</si>
  <si>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</si>
  <si>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</si>
  <si>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</si>
  <si>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</si>
  <si>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</si>
  <si>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</si>
  <si>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</si>
  <si>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</si>
  <si>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</si>
  <si>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</si>
  <si>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</si>
  <si>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</si>
  <si>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</si>
  <si>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</si>
  <si>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</si>
  <si>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</si>
  <si>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</si>
  <si>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</si>
  <si>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</si>
  <si>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</si>
  <si>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</si>
  <si>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</si>
  <si>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</si>
  <si>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</si>
  <si>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</si>
  <si>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</si>
  <si>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</si>
  <si>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</si>
  <si>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</si>
  <si>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</si>
  <si>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</si>
  <si>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</si>
  <si>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</si>
  <si>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</si>
  <si>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</si>
  <si>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</si>
  <si>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</si>
  <si>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</si>
  <si>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</si>
  <si>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</si>
  <si>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</si>
  <si>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</si>
  <si>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</si>
  <si>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</si>
  <si>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</si>
  <si>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</si>
  <si>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</si>
  <si>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</si>
  <si>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</si>
  <si>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</si>
  <si>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</si>
  <si>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</si>
  <si>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</si>
  <si>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</si>
  <si>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</si>
  <si>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</si>
  <si>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</si>
  <si>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</si>
  <si>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</si>
  <si>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</si>
  <si>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</si>
  <si>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</si>
  <si>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</si>
  <si>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</si>
  <si>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</si>
  <si>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</si>
  <si>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</si>
  <si>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</si>
  <si>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</si>
  <si>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</si>
  <si>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</si>
  <si>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</si>
  <si>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</si>
  <si>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</si>
  <si>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</si>
  <si>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</si>
  <si>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</si>
  <si>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</si>
  <si>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</si>
  <si>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</si>
  <si>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</si>
  <si>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</si>
  <si>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</si>
  <si>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</si>
  <si>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</si>
  <si>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</si>
  <si>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</si>
  <si>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</si>
  <si>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</si>
  <si>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</si>
  <si>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</si>
  <si>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</si>
  <si>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</si>
  <si>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</si>
  <si>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</si>
  <si>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</si>
  <si>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</si>
  <si>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</si>
  <si>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</si>
  <si>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</si>
  <si>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</si>
  <si>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</si>
  <si>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</si>
  <si>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</si>
  <si>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</si>
  <si>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</si>
  <si>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</si>
  <si>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</si>
  <si>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</si>
  <si>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</si>
  <si>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</si>
  <si>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</si>
  <si>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</si>
  <si>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</si>
  <si>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</si>
  <si>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</si>
  <si>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</si>
  <si>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</si>
  <si>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</si>
  <si>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</si>
  <si>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</si>
  <si>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</si>
  <si>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</si>
  <si>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</si>
  <si>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</si>
  <si>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</si>
  <si>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</si>
  <si>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</si>
  <si>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</si>
  <si>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</si>
  <si>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</si>
  <si>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</si>
  <si>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</si>
  <si>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</si>
  <si>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</si>
  <si>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</si>
  <si>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</si>
  <si>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</si>
  <si>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</si>
  <si>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</si>
  <si>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</si>
  <si>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</si>
  <si>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</si>
  <si>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</si>
  <si>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</si>
  <si>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</si>
  <si>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</si>
  <si>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</si>
  <si>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</si>
  <si>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</si>
  <si>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</si>
  <si>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</si>
  <si>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</si>
  <si>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</si>
  <si>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</si>
  <si>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</si>
  <si>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</si>
  <si>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</si>
  <si>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</si>
  <si>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</si>
  <si>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</si>
  <si>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</si>
  <si>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</si>
  <si>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</si>
  <si>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</si>
  <si>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</si>
  <si>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</si>
  <si>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</si>
  <si>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</si>
  <si>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</si>
  <si>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</si>
  <si>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</si>
  <si>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</si>
  <si>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</si>
  <si>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</si>
  <si>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</si>
  <si>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</si>
  <si>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</si>
  <si>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</si>
  <si>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</si>
  <si>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</si>
  <si>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</si>
  <si>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</si>
  <si>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</si>
  <si>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</si>
  <si>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</si>
  <si>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</si>
  <si>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</si>
  <si>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</si>
  <si>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</si>
  <si>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</si>
  <si>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</si>
  <si>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</si>
  <si>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</si>
  <si>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</si>
  <si>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</si>
  <si>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</si>
  <si>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</si>
  <si>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</si>
  <si>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</si>
  <si>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</si>
  <si>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</si>
  <si>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</si>
  <si>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</si>
  <si>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</si>
  <si>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</si>
  <si>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</si>
  <si>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</si>
  <si>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</si>
  <si>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</si>
  <si>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</si>
  <si>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</si>
  <si>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</si>
  <si>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</si>
  <si>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</si>
  <si>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</si>
  <si>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</si>
  <si>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</si>
  <si>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</si>
  <si>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</si>
  <si>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</si>
  <si>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</si>
  <si>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</si>
  <si>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</si>
  <si>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</si>
  <si>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</si>
  <si>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</si>
  <si>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</si>
  <si>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</si>
  <si>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</si>
  <si>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</si>
  <si>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</si>
  <si>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</si>
  <si>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</si>
  <si>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</si>
  <si>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</si>
  <si>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</si>
  <si>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</si>
  <si>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</si>
  <si>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</si>
  <si>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</si>
  <si>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</si>
  <si>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</si>
  <si>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</si>
  <si>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</si>
  <si>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</si>
  <si>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</si>
  <si>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</si>
  <si>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</si>
  <si>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</si>
  <si>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</si>
  <si>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</si>
  <si>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</si>
  <si>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</si>
  <si>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</si>
  <si>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</si>
  <si>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</si>
  <si>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</si>
  <si>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</si>
  <si>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</si>
  <si>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</si>
  <si>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</si>
  <si>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</si>
  <si>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</si>
  <si>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</si>
  <si>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</si>
  <si>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</si>
  <si>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</si>
  <si>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</si>
  <si>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</si>
  <si>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</si>
  <si>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</si>
  <si>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</si>
  <si>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</si>
  <si>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</si>
  <si>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</si>
  <si>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</si>
  <si>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</si>
  <si>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</si>
  <si>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</si>
  <si>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</si>
  <si>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</si>
  <si>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</si>
  <si>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</si>
  <si>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</si>
  <si>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</si>
  <si>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</si>
  <si>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</si>
  <si>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</si>
  <si>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</si>
  <si>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</si>
  <si>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</si>
  <si>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</si>
  <si>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</si>
  <si>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</si>
  <si>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</si>
  <si>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</si>
  <si>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</si>
  <si>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</si>
  <si>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</si>
  <si>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</si>
  <si>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</si>
  <si>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</si>
  <si>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</si>
  <si>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</si>
  <si>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</si>
  <si>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</si>
  <si>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</si>
  <si>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</si>
  <si>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</si>
  <si>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</si>
  <si>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</si>
  <si>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</si>
  <si>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</si>
  <si>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</si>
  <si>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</si>
  <si>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</si>
  <si>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</si>
  <si>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</si>
  <si>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</si>
  <si>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</si>
  <si>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</si>
  <si>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</si>
  <si>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</si>
  <si>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</si>
  <si>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</si>
  <si>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</si>
  <si>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</si>
  <si>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</si>
  <si>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</si>
  <si>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</si>
  <si>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</si>
  <si>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</si>
  <si>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</si>
  <si>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</si>
  <si>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</si>
  <si>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</si>
  <si>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</si>
  <si>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</si>
  <si>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</si>
  <si>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</si>
  <si>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</si>
  <si>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</si>
  <si>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</si>
  <si>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</si>
  <si>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</si>
  <si>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</si>
  <si>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</si>
  <si>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</si>
  <si>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</si>
  <si>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</si>
  <si>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</si>
  <si>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</si>
  <si>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</si>
  <si>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</si>
  <si>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</si>
  <si>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</si>
  <si>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</si>
  <si>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</si>
  <si>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</si>
  <si>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</si>
  <si>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</si>
  <si>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</si>
  <si>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</si>
  <si>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</si>
  <si>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</si>
  <si>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</si>
  <si>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</si>
  <si>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</si>
  <si>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</si>
  <si>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</si>
  <si>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</si>
  <si>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</si>
  <si>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</si>
  <si>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</si>
  <si>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</si>
  <si>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</si>
  <si>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</si>
  <si>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</si>
  <si>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</si>
  <si>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</si>
  <si>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</si>
  <si>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</si>
  <si>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</si>
  <si>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</si>
  <si>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</si>
  <si>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</si>
  <si>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</si>
  <si>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</si>
  <si>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</si>
  <si>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</si>
  <si>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</si>
  <si>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</si>
  <si>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</si>
  <si>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</si>
  <si>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</si>
  <si>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</si>
  <si>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</si>
  <si>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</si>
  <si>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</si>
  <si>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</si>
  <si>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</si>
  <si>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</si>
  <si>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</si>
  <si>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</si>
  <si>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</si>
  <si>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</si>
  <si>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</si>
  <si>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</si>
  <si>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</si>
  <si>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</si>
  <si>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</si>
  <si>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</si>
  <si>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</si>
  <si>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</si>
  <si>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</si>
  <si>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</si>
  <si>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</si>
  <si>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</si>
  <si>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</si>
  <si>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</si>
  <si>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</si>
  <si>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</si>
  <si>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</si>
  <si>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</si>
  <si>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</si>
  <si>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</si>
  <si>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</si>
  <si>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</si>
  <si>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</si>
  <si>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</si>
  <si>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</si>
  <si>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</si>
  <si>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</si>
  <si>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</si>
  <si>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</si>
  <si>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</si>
  <si>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</si>
  <si>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</si>
  <si>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</si>
  <si>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</si>
  <si>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</si>
  <si>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</si>
  <si>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</si>
  <si>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</si>
  <si>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</si>
  <si>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</si>
  <si>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</si>
  <si>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</si>
  <si>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</si>
  <si>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</si>
  <si>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</si>
  <si>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</si>
  <si>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</si>
  <si>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</si>
  <si>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</si>
  <si>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</si>
  <si>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</si>
  <si>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</si>
  <si>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</si>
  <si>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</si>
  <si>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</si>
  <si>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</si>
  <si>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</si>
  <si>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</si>
  <si>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</si>
  <si>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</si>
  <si>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</si>
  <si>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</si>
  <si>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</si>
  <si>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</si>
  <si>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</si>
  <si>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</si>
  <si>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</si>
  <si>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</si>
  <si>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</si>
  <si>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</si>
  <si>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</si>
  <si>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</si>
  <si>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</si>
  <si>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</si>
  <si>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</si>
  <si>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</si>
  <si>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</si>
  <si>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</si>
  <si>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</si>
  <si>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</si>
  <si>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</si>
  <si>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</si>
  <si>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</si>
  <si>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</si>
  <si>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</si>
  <si>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</si>
  <si>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</si>
  <si>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</si>
  <si>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</si>
  <si>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</si>
  <si>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</si>
  <si>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</si>
  <si>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</si>
  <si>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</si>
  <si>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</si>
  <si>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</si>
  <si>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</si>
  <si>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</si>
  <si>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</si>
  <si>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</si>
  <si>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</si>
  <si>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</si>
  <si>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</si>
  <si>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</si>
  <si>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</si>
  <si>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</si>
  <si>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</si>
  <si>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</si>
  <si>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</si>
  <si>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</si>
  <si>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</si>
  <si>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</si>
  <si>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</si>
  <si>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</si>
  <si>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</si>
  <si>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</si>
  <si>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</si>
  <si>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</si>
  <si>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</si>
  <si>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</si>
  <si>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</si>
  <si>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</si>
  <si>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</si>
  <si>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</si>
  <si>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</si>
  <si>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</si>
  <si>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</si>
  <si>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</si>
  <si>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</si>
  <si>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</si>
  <si>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</si>
  <si>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</si>
  <si>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</si>
  <si>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</si>
  <si>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</si>
  <si>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</si>
  <si>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</si>
  <si>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</si>
  <si>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</si>
  <si>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</si>
  <si>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</si>
  <si>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</si>
  <si>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</si>
  <si>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</si>
  <si>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</si>
  <si>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</si>
  <si>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</si>
  <si>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</si>
  <si>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</si>
  <si>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</si>
  <si>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</si>
  <si>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</si>
  <si>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</si>
  <si>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</si>
  <si>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</si>
  <si>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</si>
  <si>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</si>
  <si>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</si>
  <si>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</si>
  <si>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</si>
  <si>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</si>
  <si>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</si>
  <si>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</si>
  <si>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</si>
  <si>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</si>
  <si>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</si>
  <si>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</si>
  <si>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</si>
  <si>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</si>
  <si>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</si>
  <si>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</si>
  <si>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</si>
  <si>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</si>
  <si>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</si>
  <si>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</si>
  <si>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</si>
  <si>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</si>
  <si>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</si>
  <si>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</si>
  <si>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</si>
  <si>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</si>
  <si>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</si>
  <si>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</si>
  <si>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</si>
  <si>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</si>
  <si>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</si>
  <si>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</si>
  <si>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</si>
  <si>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</si>
  <si>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</si>
  <si>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</si>
  <si>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</si>
  <si>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</si>
  <si>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</si>
  <si>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</si>
  <si>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</si>
  <si>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</si>
  <si>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</si>
  <si>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</si>
  <si>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</si>
  <si>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</si>
  <si>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</si>
  <si>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</si>
  <si>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</si>
  <si>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</si>
  <si>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</si>
  <si>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</si>
  <si>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</si>
  <si>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</si>
  <si>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</si>
  <si>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</si>
  <si>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</si>
  <si>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</si>
  <si>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</si>
  <si>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</si>
  <si>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</si>
  <si>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</si>
  <si>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</si>
  <si>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</si>
  <si>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</si>
  <si>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</si>
  <si>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</si>
  <si>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</si>
  <si>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</si>
  <si>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</si>
  <si>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</si>
  <si>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</si>
  <si>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</si>
  <si>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</si>
  <si>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</si>
  <si>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</si>
  <si>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</si>
  <si>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</si>
  <si>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</si>
  <si>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</si>
  <si>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</si>
  <si>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</si>
  <si>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</si>
  <si>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</si>
  <si>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</si>
  <si>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</si>
  <si>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</si>
  <si>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</si>
  <si>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</si>
  <si>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</si>
  <si>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</si>
  <si>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</si>
  <si>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</si>
  <si>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</si>
  <si>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</si>
  <si>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</si>
  <si>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</si>
  <si>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</si>
  <si>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</si>
  <si>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</si>
  <si>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</si>
  <si>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</si>
  <si>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</si>
  <si>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</si>
  <si>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</si>
  <si>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</si>
  <si>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</si>
  <si>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</si>
  <si>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</si>
  <si>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</si>
  <si>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</si>
  <si>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</si>
  <si>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</si>
  <si>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</si>
  <si>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</si>
  <si>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</si>
  <si>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</si>
  <si>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</si>
  <si>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</si>
  <si>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</si>
  <si>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</si>
  <si>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</si>
  <si>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</si>
  <si>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</si>
  <si>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</si>
  <si>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</si>
  <si>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</si>
  <si>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</si>
  <si>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</si>
  <si>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</si>
  <si>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</si>
  <si>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</si>
  <si>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</si>
  <si>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</si>
  <si>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</si>
  <si>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</si>
  <si>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</si>
  <si>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</si>
  <si>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</si>
  <si>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</si>
  <si>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</si>
  <si>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</si>
  <si>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</si>
  <si>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</si>
  <si>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</si>
  <si>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</si>
  <si>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</si>
  <si>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</si>
  <si>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</si>
  <si>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</si>
  <si>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</si>
  <si>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</si>
  <si>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</si>
  <si>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</si>
  <si>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</si>
  <si>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</si>
  <si>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</si>
  <si>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</si>
  <si>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</si>
  <si>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</si>
  <si>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</si>
  <si>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</si>
  <si>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</si>
  <si>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</si>
  <si>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</si>
  <si>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</si>
  <si>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</si>
  <si>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</si>
  <si>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</si>
  <si>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</si>
  <si>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</si>
  <si>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</si>
  <si>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</si>
  <si>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</si>
  <si>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</si>
  <si>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</si>
  <si>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</si>
  <si>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</si>
  <si>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</si>
  <si>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</si>
  <si>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</si>
  <si>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</si>
  <si>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</si>
  <si>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</si>
  <si>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</si>
  <si>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</si>
  <si>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</si>
  <si>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</si>
  <si>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</si>
  <si>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</si>
  <si>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</si>
  <si>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</si>
  <si>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</si>
  <si>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</si>
  <si>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</si>
  <si>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</si>
  <si>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</si>
  <si>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</si>
  <si>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</si>
  <si>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</si>
  <si>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</si>
  <si>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</si>
  <si>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</si>
  <si>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</si>
  <si>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</si>
  <si>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</si>
  <si>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</si>
  <si>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</si>
  <si>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</si>
  <si>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</si>
  <si>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</si>
  <si>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</si>
  <si>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</si>
  <si>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</si>
  <si>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</si>
  <si>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</si>
  <si>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</si>
  <si>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</si>
  <si>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</si>
  <si>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</si>
  <si>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</si>
  <si>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</si>
  <si>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</si>
  <si>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</si>
  <si>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</si>
  <si>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</si>
  <si>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</si>
  <si>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</si>
  <si>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</si>
  <si>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</si>
  <si>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</si>
  <si>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</si>
  <si>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</si>
  <si>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</si>
  <si>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</si>
  <si>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</si>
  <si>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</si>
  <si>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</si>
  <si>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</si>
  <si>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</si>
  <si>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</si>
  <si>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</si>
  <si>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</si>
  <si>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</si>
  <si>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</si>
  <si>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</si>
  <si>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</si>
  <si>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</si>
  <si>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</si>
  <si>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</si>
  <si>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</si>
  <si>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</si>
  <si>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</si>
  <si>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</si>
  <si>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</si>
  <si>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</si>
  <si>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</si>
  <si>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</si>
  <si>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</si>
  <si>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</si>
  <si>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</si>
  <si>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</si>
  <si>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</si>
  <si>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</si>
  <si>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</si>
  <si>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</si>
  <si>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</si>
  <si>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</si>
  <si>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</si>
  <si>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</si>
  <si>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</si>
  <si>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</si>
  <si>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</si>
  <si>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</si>
  <si>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</si>
  <si>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</si>
  <si>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</si>
  <si>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</si>
  <si>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</si>
  <si>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</si>
  <si>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</si>
  <si>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</si>
  <si>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</si>
  <si>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</si>
  <si>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</si>
  <si>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</si>
  <si>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</si>
  <si>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</si>
  <si>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</si>
  <si>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</si>
  <si>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</si>
  <si>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</si>
  <si>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</si>
  <si>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</si>
  <si>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</si>
  <si>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</si>
  <si>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</si>
  <si>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</si>
  <si>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</si>
  <si>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</si>
  <si>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</si>
  <si>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</si>
  <si>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</si>
  <si>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</si>
  <si>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</si>
  <si>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</si>
  <si>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</si>
  <si>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</si>
  <si>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</si>
  <si>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</si>
  <si>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</si>
  <si>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</si>
  <si>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</si>
  <si>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</si>
  <si>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</si>
  <si>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</si>
  <si>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</si>
  <si>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</si>
  <si>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</si>
  <si>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</si>
  <si>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</si>
  <si>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</si>
  <si>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</si>
  <si>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</si>
  <si>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</si>
  <si>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</si>
  <si>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</si>
  <si>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</si>
  <si>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</si>
  <si>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</si>
  <si>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</si>
  <si>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</si>
  <si>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</si>
  <si>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</si>
  <si>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</si>
  <si>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</si>
  <si>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</si>
  <si>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</si>
  <si>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</si>
  <si>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</si>
  <si>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</si>
  <si>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</si>
  <si>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</si>
  <si>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</si>
  <si>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</si>
  <si>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</si>
  <si>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</si>
  <si>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</si>
  <si>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</si>
  <si>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</si>
  <si>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</si>
  <si>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</si>
  <si>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</si>
  <si>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</si>
  <si>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</si>
  <si>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</si>
  <si>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</si>
  <si>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</si>
  <si>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</si>
  <si>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</si>
  <si>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</si>
  <si>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</si>
  <si>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</si>
  <si>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</si>
  <si>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</si>
  <si>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</si>
  <si>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</si>
  <si>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</si>
  <si>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</si>
  <si>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</si>
  <si>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</si>
  <si>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</si>
  <si>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 xml:space="preserve"> 11 Aug 2026</t>
  </si>
  <si>
    <t>S33</t>
  </si>
  <si>
    <t>99774</t>
  </si>
  <si>
    <t>151290</t>
  </si>
  <si>
    <t xml:space="preserve"> 10 Aug 2026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</si>
  <si>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</si>
  <si>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</si>
  <si>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</si>
  <si>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</si>
  <si>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</si>
  <si>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</si>
  <si>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</si>
  <si>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</si>
  <si>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</si>
  <si>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</si>
  <si>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</si>
  <si>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</si>
  <si>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</si>
  <si>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</si>
  <si>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</si>
  <si>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</si>
  <si>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</si>
  <si>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</si>
  <si>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</si>
  <si>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</si>
  <si>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</si>
  <si>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</si>
  <si>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</si>
  <si>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</si>
  <si>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</si>
  <si>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</si>
  <si>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</si>
  <si>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</si>
  <si>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</si>
  <si>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</si>
  <si>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</si>
  <si>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</si>
  <si>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</si>
  <si>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</si>
  <si>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</si>
  <si>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</si>
  <si>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</si>
  <si>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</si>
  <si>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</si>
  <si>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</si>
  <si>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</si>
  <si>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</si>
  <si>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</si>
  <si>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</si>
  <si>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</si>
  <si>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</si>
  <si>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</si>
  <si>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</si>
  <si>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</si>
  <si>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</si>
  <si>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</si>
  <si>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</si>
  <si>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</si>
  <si>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</si>
  <si>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</si>
  <si>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</si>
  <si>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</si>
  <si>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</si>
  <si>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</si>
  <si>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</si>
  <si>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</si>
  <si>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</si>
  <si>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</si>
  <si>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</si>
  <si>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</si>
  <si>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</si>
  <si>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</si>
  <si>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</si>
  <si>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</si>
  <si>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</si>
  <si>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</si>
  <si>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</si>
  <si>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</si>
  <si>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</si>
  <si>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</si>
  <si>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</si>
  <si>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</si>
  <si>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</si>
  <si>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</si>
  <si>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</si>
  <si>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</si>
  <si>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</si>
  <si>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</si>
  <si>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</si>
  <si>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</si>
  <si>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13 Aug 2026</t>
  </si>
  <si>
    <t>101604</t>
  </si>
  <si>
    <t>153865</t>
  </si>
  <si>
    <t xml:space="preserve"> 12 Aug 2026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</si>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</sst>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tabSelected="1" zoomScaleNormal="100" workbookViewId="0">
      <pane ySplit="4" topLeftCell="A817" activePane="bottomLeft" state="frozen"/>
      <selection pane="bottomLeft" activeCell="H828" sqref="H82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4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799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2" t="s">
        <v>2974</v>
      </c>
      <c r="B793" s="8" t="s">
        <v>2975</v>
      </c>
      <c r="C793" s="8" t="s">
        <v>36</v>
      </c>
      <c r="D793" s="8" t="s">
        <v>39</v>
      </c>
      <c r="E793" s="8" t="s">
        <v>47</v>
      </c>
      <c r="F793" s="13"/>
      <c r="G793" s="59"/>
      <c r="H793" s="13"/>
      <c r="I793" s="6">
        <f t="shared" si="59"/>
        <v>247.074122236671</v>
      </c>
      <c r="J793" s="2">
        <v>8.24</v>
      </c>
      <c r="K793" s="2">
        <v>7.69</v>
      </c>
      <c r="L793" s="2">
        <v>0.55000000000000004</v>
      </c>
      <c r="M793" s="2">
        <v>6.68</v>
      </c>
      <c r="N793" s="2" t="s">
        <v>1975</v>
      </c>
      <c r="O793" s="56">
        <v>1900</v>
      </c>
      <c r="P793" s="2">
        <v>1.59</v>
      </c>
      <c r="Q793" s="2">
        <v>11.53</v>
      </c>
      <c r="R793" s="2">
        <v>151.41999999999999</v>
      </c>
      <c r="S793" s="2">
        <v>2.37</v>
      </c>
      <c r="T793" s="2">
        <v>4.3</v>
      </c>
      <c r="U793" s="2">
        <v>149.05000000000001</v>
      </c>
      <c r="V793" s="2">
        <v>19.39</v>
      </c>
      <c r="W793" s="2">
        <v>9313.74</v>
      </c>
      <c r="X793" s="2" t="s">
        <v>2976</v>
      </c>
      <c r="Y793" s="2" t="s">
        <v>2977</v>
      </c>
      <c r="Z793" s="2" t="s">
        <v>548</v>
      </c>
      <c r="AA793" s="2" t="s">
        <v>548</v>
      </c>
      <c r="AB793" s="2">
        <v>291.8</v>
      </c>
    </row>
    <row r="794" spans="1:28" x14ac:dyDescent="0.25">
      <c r="A794" s="2" t="s">
        <v>2978</v>
      </c>
      <c r="B794" s="8" t="s">
        <v>2975</v>
      </c>
      <c r="C794" s="8" t="s">
        <v>36</v>
      </c>
      <c r="D794" s="8" t="s">
        <v>39</v>
      </c>
      <c r="E794" s="8" t="s">
        <v>47</v>
      </c>
      <c r="F794" s="13"/>
      <c r="G794" s="59"/>
      <c r="H794" s="13"/>
      <c r="I794" s="6">
        <f t="shared" si="59"/>
        <v>331.76943699731902</v>
      </c>
      <c r="J794" s="2">
        <v>8.86</v>
      </c>
      <c r="K794" s="2">
        <v>7.46</v>
      </c>
      <c r="L794" s="2">
        <v>1.4</v>
      </c>
      <c r="M794" s="2">
        <v>15.81</v>
      </c>
      <c r="N794" s="2" t="s">
        <v>2979</v>
      </c>
      <c r="O794" s="56">
        <v>2475</v>
      </c>
      <c r="P794" s="2">
        <v>1.58</v>
      </c>
      <c r="Q794" s="2">
        <v>9.84</v>
      </c>
      <c r="R794" s="2">
        <v>150.94</v>
      </c>
      <c r="S794" s="2">
        <v>6.15</v>
      </c>
      <c r="T794" s="2">
        <v>4.3899999999999997</v>
      </c>
      <c r="U794" s="2">
        <v>144.79</v>
      </c>
      <c r="V794" s="2">
        <v>19.420000000000002</v>
      </c>
      <c r="W794" s="2">
        <v>9305.5</v>
      </c>
      <c r="X794" s="2" t="s">
        <v>2980</v>
      </c>
      <c r="Y794" s="2" t="s">
        <v>2981</v>
      </c>
      <c r="Z794" s="2">
        <v>0.2</v>
      </c>
      <c r="AA794" s="2" t="s">
        <v>548</v>
      </c>
      <c r="AB794" s="2">
        <v>291.8</v>
      </c>
    </row>
    <row r="795" spans="1:28" x14ac:dyDescent="0.25">
      <c r="A795" s="2" t="s">
        <v>2974</v>
      </c>
      <c r="B795" s="8" t="s">
        <v>2975</v>
      </c>
      <c r="C795" s="8" t="s">
        <v>36</v>
      </c>
      <c r="D795" s="8" t="s">
        <v>43</v>
      </c>
      <c r="E795" s="8" t="s">
        <v>47</v>
      </c>
      <c r="F795" s="13"/>
      <c r="G795" s="59"/>
      <c r="H795" s="13"/>
      <c r="I795" s="6">
        <f t="shared" si="59"/>
        <v>0</v>
      </c>
      <c r="J795" s="2" t="s">
        <v>45</v>
      </c>
      <c r="K795" s="2" t="s">
        <v>45</v>
      </c>
      <c r="L795" s="2" t="s">
        <v>45</v>
      </c>
      <c r="M795" s="2" t="s">
        <v>45</v>
      </c>
      <c r="N795" s="2" t="s">
        <v>45</v>
      </c>
      <c r="O795" s="56">
        <v>450</v>
      </c>
      <c r="P795" s="2" t="s">
        <v>45</v>
      </c>
      <c r="Q795" s="2" t="s">
        <v>45</v>
      </c>
      <c r="R795" s="2" t="s">
        <v>45</v>
      </c>
      <c r="S795" s="2" t="s">
        <v>45</v>
      </c>
      <c r="T795" s="2" t="s">
        <v>45</v>
      </c>
      <c r="U795" s="2" t="s">
        <v>45</v>
      </c>
      <c r="V795" s="2" t="s">
        <v>45</v>
      </c>
      <c r="W795" s="2" t="s">
        <v>45</v>
      </c>
      <c r="X795" s="2" t="s">
        <v>45</v>
      </c>
      <c r="Y795" s="2" t="s">
        <v>45</v>
      </c>
      <c r="Z795" s="2" t="s">
        <v>45</v>
      </c>
      <c r="AA795" s="2" t="s">
        <v>45</v>
      </c>
      <c r="AB795" s="2" t="s">
        <v>45</v>
      </c>
    </row>
    <row r="796" spans="1:28" x14ac:dyDescent="0.25">
      <c r="A796" s="2" t="s">
        <v>2978</v>
      </c>
      <c r="B796" s="8" t="s">
        <v>2975</v>
      </c>
      <c r="C796" s="8" t="s">
        <v>36</v>
      </c>
      <c r="D796" s="8" t="s">
        <v>43</v>
      </c>
      <c r="E796" s="8" t="s">
        <v>47</v>
      </c>
      <c r="F796" s="13"/>
      <c r="G796" s="59"/>
      <c r="H796" s="13"/>
      <c r="I796" s="6">
        <f t="shared" si="59"/>
        <v>37.313432835820898</v>
      </c>
      <c r="J796" s="2">
        <v>2.46</v>
      </c>
      <c r="K796" s="2">
        <v>2.0099999999999998</v>
      </c>
      <c r="L796" s="2">
        <v>0.45</v>
      </c>
      <c r="M796" s="2">
        <v>18.309999999999999</v>
      </c>
      <c r="N796" s="2" t="s">
        <v>45</v>
      </c>
      <c r="O796" s="56">
        <v>75</v>
      </c>
      <c r="P796" s="2" t="s">
        <v>45</v>
      </c>
      <c r="Q796" s="2" t="s">
        <v>45</v>
      </c>
      <c r="R796" s="2">
        <v>35.49</v>
      </c>
      <c r="S796" s="2">
        <v>1.42</v>
      </c>
      <c r="T796" s="2">
        <v>3.15</v>
      </c>
      <c r="U796" s="2">
        <v>34.07</v>
      </c>
      <c r="V796" s="2">
        <v>16.97</v>
      </c>
      <c r="W796" s="2">
        <v>8899.67</v>
      </c>
      <c r="X796" s="2" t="s">
        <v>45</v>
      </c>
      <c r="Y796" s="2" t="s">
        <v>45</v>
      </c>
      <c r="Z796" s="2">
        <v>0.4</v>
      </c>
      <c r="AA796" s="2" t="s">
        <v>45</v>
      </c>
      <c r="AB796" s="2">
        <v>263.60000000000002</v>
      </c>
    </row>
    <row r="797" spans="1:28" x14ac:dyDescent="0.25">
      <c r="A797" s="2" t="s">
        <v>2974</v>
      </c>
      <c r="B797" s="8" t="s">
        <v>2975</v>
      </c>
      <c r="C797" s="8" t="s">
        <v>36</v>
      </c>
      <c r="D797" s="8" t="s">
        <v>67</v>
      </c>
      <c r="E797" s="8" t="s">
        <v>61</v>
      </c>
      <c r="F797" s="13"/>
      <c r="G797" s="59"/>
      <c r="H797" s="59"/>
      <c r="I797" s="6">
        <f t="shared" si="59"/>
        <v>307.66045548654245</v>
      </c>
      <c r="J797" s="2">
        <v>13.16</v>
      </c>
      <c r="K797" s="2">
        <v>9.66</v>
      </c>
      <c r="L797" s="2">
        <v>3.5</v>
      </c>
      <c r="M797" s="2">
        <v>26.59</v>
      </c>
      <c r="N797" s="2" t="s">
        <v>2982</v>
      </c>
      <c r="O797" s="56">
        <f>3872-O798</f>
        <v>2972</v>
      </c>
      <c r="P797" s="2">
        <v>2.42</v>
      </c>
      <c r="Q797" s="2">
        <v>18.18</v>
      </c>
      <c r="R797" s="2">
        <v>212.93</v>
      </c>
      <c r="S797" s="2">
        <v>11.36</v>
      </c>
      <c r="T797" s="2">
        <v>3.24</v>
      </c>
      <c r="U797" s="2">
        <v>201.57</v>
      </c>
      <c r="V797" s="2">
        <v>20.86</v>
      </c>
      <c r="W797" s="2">
        <v>707.22</v>
      </c>
      <c r="X797" s="2" t="s">
        <v>2983</v>
      </c>
      <c r="Y797" s="2" t="s">
        <v>2984</v>
      </c>
      <c r="Z797" s="2">
        <v>0.6</v>
      </c>
      <c r="AA797" s="2" t="s">
        <v>548</v>
      </c>
      <c r="AB797" s="2">
        <v>68.2</v>
      </c>
    </row>
    <row r="798" spans="1:28" x14ac:dyDescent="0.25">
      <c r="A798" s="2" t="s">
        <v>2974</v>
      </c>
      <c r="B798" s="8" t="s">
        <v>2975</v>
      </c>
      <c r="C798" s="8" t="s">
        <v>36</v>
      </c>
      <c r="D798" s="8" t="s">
        <v>67</v>
      </c>
      <c r="E798" s="8" t="s">
        <v>47</v>
      </c>
      <c r="F798" s="13"/>
      <c r="G798" s="59"/>
      <c r="H798" s="59"/>
      <c r="I798" s="6"/>
      <c r="J798" s="2"/>
      <c r="K798" s="2"/>
      <c r="L798" s="2"/>
      <c r="M798" s="2"/>
      <c r="N798" s="2"/>
      <c r="O798" s="56">
        <f>36*25</f>
        <v>900</v>
      </c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2" t="s">
        <v>2978</v>
      </c>
      <c r="B799" s="8" t="s">
        <v>2975</v>
      </c>
      <c r="C799" s="8" t="s">
        <v>36</v>
      </c>
      <c r="D799" s="8" t="s">
        <v>67</v>
      </c>
      <c r="E799" s="8" t="s">
        <v>47</v>
      </c>
      <c r="F799" s="13"/>
      <c r="G799" s="59"/>
      <c r="H799" s="59"/>
      <c r="I799" s="6">
        <f t="shared" si="59"/>
        <v>258.160237388724</v>
      </c>
      <c r="J799" s="2">
        <v>8.94</v>
      </c>
      <c r="K799" s="2">
        <v>6.74</v>
      </c>
      <c r="L799" s="2">
        <v>2.2000000000000002</v>
      </c>
      <c r="M799" s="2">
        <v>24.62</v>
      </c>
      <c r="N799" s="2" t="s">
        <v>2985</v>
      </c>
      <c r="O799" s="56">
        <f>2665-O800</f>
        <v>1740</v>
      </c>
      <c r="P799" s="2">
        <v>2.1800000000000002</v>
      </c>
      <c r="Q799" s="2">
        <v>17.82</v>
      </c>
      <c r="R799" s="2">
        <v>149.52000000000001</v>
      </c>
      <c r="S799" s="2">
        <v>8.0399999999999991</v>
      </c>
      <c r="T799" s="2">
        <v>3.66</v>
      </c>
      <c r="U799" s="2">
        <v>141.47999999999999</v>
      </c>
      <c r="V799" s="2">
        <v>21.01</v>
      </c>
      <c r="W799" s="2">
        <v>694.05</v>
      </c>
      <c r="X799" s="2" t="s">
        <v>2986</v>
      </c>
      <c r="Y799" s="2" t="s">
        <v>2987</v>
      </c>
      <c r="Z799" s="2">
        <v>0.8</v>
      </c>
      <c r="AA799" s="2" t="s">
        <v>548</v>
      </c>
      <c r="AB799" s="2">
        <v>67.599999999999994</v>
      </c>
    </row>
    <row r="800" spans="1:28" x14ac:dyDescent="0.25">
      <c r="A800" s="2" t="s">
        <v>2978</v>
      </c>
      <c r="B800" s="8" t="s">
        <v>2975</v>
      </c>
      <c r="C800" s="8" t="s">
        <v>36</v>
      </c>
      <c r="D800" s="8" t="s">
        <v>67</v>
      </c>
      <c r="E800" s="8" t="s">
        <v>61</v>
      </c>
      <c r="F800" s="13"/>
      <c r="G800" s="59"/>
      <c r="H800" s="59"/>
      <c r="I800" s="6"/>
      <c r="J800" s="2"/>
      <c r="K800" s="2"/>
      <c r="L800" s="2"/>
      <c r="M800" s="2"/>
      <c r="N800" s="2"/>
      <c r="O800" s="56">
        <f>37*25</f>
        <v>925</v>
      </c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2" t="s">
        <v>2974</v>
      </c>
      <c r="B801" s="8" t="s">
        <v>2975</v>
      </c>
      <c r="C801" s="8" t="s">
        <v>36</v>
      </c>
      <c r="D801" s="8" t="s">
        <v>50</v>
      </c>
      <c r="E801" s="8" t="s">
        <v>61</v>
      </c>
      <c r="F801" s="13"/>
      <c r="G801" s="59"/>
      <c r="H801" s="59"/>
      <c r="I801" s="6">
        <f t="shared" ref="I801:I815" si="60">IFERROR(O801/K801,)</f>
        <v>372.95285359801488</v>
      </c>
      <c r="J801" s="2">
        <v>5.58</v>
      </c>
      <c r="K801" s="2">
        <v>4.03</v>
      </c>
      <c r="L801" s="2">
        <v>1.55</v>
      </c>
      <c r="M801" s="2">
        <v>27.76</v>
      </c>
      <c r="N801" s="2" t="s">
        <v>2988</v>
      </c>
      <c r="O801" s="56">
        <v>1503</v>
      </c>
      <c r="P801" s="2">
        <v>2.14</v>
      </c>
      <c r="Q801" s="2">
        <v>16.12</v>
      </c>
      <c r="R801" s="2">
        <v>93.22</v>
      </c>
      <c r="S801" s="2">
        <v>6.15</v>
      </c>
      <c r="T801" s="2">
        <v>3.97</v>
      </c>
      <c r="U801" s="2">
        <v>87.06</v>
      </c>
      <c r="V801" s="2">
        <v>21.59</v>
      </c>
      <c r="W801" s="2">
        <v>2556.8000000000002</v>
      </c>
      <c r="X801" s="2" t="s">
        <v>2989</v>
      </c>
      <c r="Y801" s="2" t="s">
        <v>2990</v>
      </c>
      <c r="Z801" s="2">
        <v>1.5</v>
      </c>
      <c r="AA801" s="2" t="s">
        <v>548</v>
      </c>
      <c r="AB801" s="2">
        <v>333.3</v>
      </c>
    </row>
    <row r="802" spans="1:28" x14ac:dyDescent="0.25">
      <c r="A802" s="2" t="s">
        <v>2978</v>
      </c>
      <c r="B802" s="8" t="s">
        <v>2975</v>
      </c>
      <c r="C802" s="8" t="s">
        <v>36</v>
      </c>
      <c r="D802" s="8" t="s">
        <v>50</v>
      </c>
      <c r="E802" s="8" t="s">
        <v>47</v>
      </c>
      <c r="F802" s="13"/>
      <c r="G802" s="59"/>
      <c r="H802" s="59"/>
      <c r="I802" s="6">
        <f t="shared" si="60"/>
        <v>0</v>
      </c>
      <c r="J802" s="2">
        <v>1.36</v>
      </c>
      <c r="K802" s="2">
        <v>0.66</v>
      </c>
      <c r="L802" s="2">
        <v>0.7</v>
      </c>
      <c r="M802" s="2">
        <v>51.39</v>
      </c>
      <c r="N802" s="2" t="s">
        <v>548</v>
      </c>
      <c r="O802" s="56">
        <v>0</v>
      </c>
      <c r="P802" s="2" t="s">
        <v>45</v>
      </c>
      <c r="Q802" s="2" t="s">
        <v>548</v>
      </c>
      <c r="R802" s="2">
        <v>10.88</v>
      </c>
      <c r="S802" s="2">
        <v>2.37</v>
      </c>
      <c r="T802" s="2">
        <v>3.38</v>
      </c>
      <c r="U802" s="2">
        <v>8.52</v>
      </c>
      <c r="V802" s="2">
        <v>12.86</v>
      </c>
      <c r="W802" s="2">
        <v>2551.2199999999998</v>
      </c>
      <c r="X802" s="2" t="s">
        <v>2956</v>
      </c>
      <c r="Y802" s="2" t="s">
        <v>2957</v>
      </c>
      <c r="Z802" s="2">
        <v>0.3</v>
      </c>
      <c r="AA802" s="2" t="s">
        <v>45</v>
      </c>
      <c r="AB802" s="2">
        <v>331.8</v>
      </c>
    </row>
    <row r="803" spans="1:28" x14ac:dyDescent="0.25">
      <c r="A803" s="2" t="s">
        <v>2974</v>
      </c>
      <c r="B803" s="8" t="s">
        <v>2975</v>
      </c>
      <c r="C803" s="8" t="s">
        <v>36</v>
      </c>
      <c r="D803" s="8" t="s">
        <v>52</v>
      </c>
      <c r="E803" s="8" t="s">
        <v>47</v>
      </c>
      <c r="F803" s="13"/>
      <c r="G803" s="59"/>
      <c r="H803" s="59"/>
      <c r="I803" s="6">
        <f t="shared" si="60"/>
        <v>108.52618757612666</v>
      </c>
      <c r="J803" s="2">
        <v>9.4600000000000009</v>
      </c>
      <c r="K803" s="2">
        <v>8.2100000000000009</v>
      </c>
      <c r="L803" s="2">
        <v>1.25</v>
      </c>
      <c r="M803" s="2">
        <v>13.22</v>
      </c>
      <c r="N803" s="2" t="s">
        <v>2991</v>
      </c>
      <c r="O803" s="56">
        <f>1491-O804</f>
        <v>891</v>
      </c>
      <c r="P803" s="2">
        <v>1.78</v>
      </c>
      <c r="Q803" s="2">
        <v>10.4</v>
      </c>
      <c r="R803" s="2">
        <v>143.37</v>
      </c>
      <c r="S803" s="2">
        <v>5.2</v>
      </c>
      <c r="T803" s="2">
        <v>4.16</v>
      </c>
      <c r="U803" s="2">
        <v>138.16999999999999</v>
      </c>
      <c r="V803" s="2">
        <v>16.829999999999998</v>
      </c>
      <c r="W803" s="2">
        <v>1151.94</v>
      </c>
      <c r="X803" s="2" t="s">
        <v>2992</v>
      </c>
      <c r="Y803" s="2" t="s">
        <v>2993</v>
      </c>
      <c r="Z803" s="2">
        <v>0.6</v>
      </c>
      <c r="AA803" s="2" t="s">
        <v>548</v>
      </c>
      <c r="AB803" s="2">
        <v>120.4</v>
      </c>
    </row>
    <row r="804" spans="1:28" x14ac:dyDescent="0.25">
      <c r="A804" s="2" t="s">
        <v>2974</v>
      </c>
      <c r="B804" s="8" t="s">
        <v>2975</v>
      </c>
      <c r="C804" s="8" t="s">
        <v>36</v>
      </c>
      <c r="D804" s="8" t="s">
        <v>52</v>
      </c>
      <c r="E804" s="8" t="s">
        <v>61</v>
      </c>
      <c r="F804" s="13"/>
      <c r="G804" s="59"/>
      <c r="H804" s="59"/>
      <c r="I804" s="6"/>
      <c r="J804" s="2"/>
      <c r="K804" s="2"/>
      <c r="L804" s="2"/>
      <c r="M804" s="2"/>
      <c r="N804" s="2"/>
      <c r="O804" s="56">
        <f>24*25</f>
        <v>600</v>
      </c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2" t="s">
        <v>2978</v>
      </c>
      <c r="B805" s="8" t="s">
        <v>2975</v>
      </c>
      <c r="C805" s="8" t="s">
        <v>36</v>
      </c>
      <c r="D805" s="8" t="s">
        <v>52</v>
      </c>
      <c r="E805" s="8" t="s">
        <v>47</v>
      </c>
      <c r="F805" s="13"/>
      <c r="G805" s="59"/>
      <c r="H805" s="59"/>
      <c r="I805" s="6">
        <f t="shared" si="60"/>
        <v>144.85049833887044</v>
      </c>
      <c r="J805" s="2">
        <v>10.73</v>
      </c>
      <c r="K805" s="2">
        <v>9.0299999999999994</v>
      </c>
      <c r="L805" s="2">
        <v>1.7</v>
      </c>
      <c r="M805" s="2">
        <v>15.85</v>
      </c>
      <c r="N805" s="2" t="s">
        <v>2994</v>
      </c>
      <c r="O805" s="56">
        <v>1308</v>
      </c>
      <c r="P805" s="2">
        <v>1.65</v>
      </c>
      <c r="Q805" s="2">
        <v>6.79</v>
      </c>
      <c r="R805" s="2">
        <v>192.58</v>
      </c>
      <c r="S805" s="2">
        <v>6.15</v>
      </c>
      <c r="T805" s="2">
        <v>3.62</v>
      </c>
      <c r="U805" s="2">
        <v>186.43</v>
      </c>
      <c r="V805" s="2">
        <v>20.65</v>
      </c>
      <c r="W805" s="2">
        <v>1142.1500000000001</v>
      </c>
      <c r="X805" s="2" t="s">
        <v>2995</v>
      </c>
      <c r="Y805" s="2" t="s">
        <v>2996</v>
      </c>
      <c r="Z805" s="2">
        <v>0.5</v>
      </c>
      <c r="AA805" s="2" t="s">
        <v>548</v>
      </c>
      <c r="AB805" s="2">
        <v>119.8</v>
      </c>
    </row>
    <row r="806" spans="1:28" x14ac:dyDescent="0.25">
      <c r="A806" s="2" t="s">
        <v>2974</v>
      </c>
      <c r="B806" s="8" t="s">
        <v>2975</v>
      </c>
      <c r="C806" s="8" t="s">
        <v>36</v>
      </c>
      <c r="D806" s="7" t="s">
        <v>46</v>
      </c>
      <c r="E806" s="8" t="s">
        <v>47</v>
      </c>
      <c r="F806" s="13"/>
      <c r="G806" s="59"/>
      <c r="H806" s="59"/>
      <c r="I806" s="6">
        <f t="shared" si="60"/>
        <v>285.69206842923796</v>
      </c>
      <c r="J806" s="2">
        <v>7.03</v>
      </c>
      <c r="K806" s="2">
        <v>6.43</v>
      </c>
      <c r="L806" s="2">
        <v>0.6</v>
      </c>
      <c r="M806" s="2">
        <v>8.5299999999999994</v>
      </c>
      <c r="N806" s="2" t="s">
        <v>2997</v>
      </c>
      <c r="O806" s="56">
        <v>1837</v>
      </c>
      <c r="P806" s="2">
        <v>2.77</v>
      </c>
      <c r="Q806" s="2">
        <v>8.9</v>
      </c>
      <c r="R806" s="2">
        <v>206.3</v>
      </c>
      <c r="S806" s="2">
        <v>2.84</v>
      </c>
      <c r="T806" s="2">
        <v>4.7300000000000004</v>
      </c>
      <c r="U806" s="2">
        <v>203.47</v>
      </c>
      <c r="V806" s="2">
        <v>31.64</v>
      </c>
      <c r="W806" s="2">
        <v>8120.14</v>
      </c>
      <c r="X806" s="2" t="s">
        <v>2998</v>
      </c>
      <c r="Y806" s="2" t="s">
        <v>2999</v>
      </c>
      <c r="Z806" s="2">
        <v>0.4</v>
      </c>
      <c r="AA806" s="2" t="s">
        <v>548</v>
      </c>
      <c r="AB806" s="2">
        <v>255.5</v>
      </c>
    </row>
    <row r="807" spans="1:28" x14ac:dyDescent="0.25">
      <c r="A807" s="2" t="s">
        <v>2978</v>
      </c>
      <c r="B807" s="8" t="s">
        <v>2975</v>
      </c>
      <c r="C807" s="8" t="s">
        <v>36</v>
      </c>
      <c r="D807" s="7" t="s">
        <v>46</v>
      </c>
      <c r="E807" s="8" t="s">
        <v>47</v>
      </c>
      <c r="F807" s="13"/>
      <c r="G807" s="59"/>
      <c r="H807" s="59"/>
      <c r="I807" s="6">
        <f t="shared" si="60"/>
        <v>337.05953827460507</v>
      </c>
      <c r="J807" s="2">
        <v>8.7799999999999994</v>
      </c>
      <c r="K807" s="2">
        <v>8.23</v>
      </c>
      <c r="L807" s="2">
        <v>0.55000000000000004</v>
      </c>
      <c r="M807" s="2">
        <v>6.26</v>
      </c>
      <c r="N807" s="2" t="s">
        <v>3000</v>
      </c>
      <c r="O807" s="56">
        <v>2774</v>
      </c>
      <c r="P807" s="2">
        <v>2.94</v>
      </c>
      <c r="Q807" s="2">
        <v>10.74</v>
      </c>
      <c r="R807" s="2">
        <v>258.35000000000002</v>
      </c>
      <c r="S807" s="2">
        <v>3.31</v>
      </c>
      <c r="T807" s="2">
        <v>6.02</v>
      </c>
      <c r="U807" s="2">
        <v>255.04</v>
      </c>
      <c r="V807" s="2">
        <v>30.98</v>
      </c>
      <c r="W807" s="2">
        <v>8113.11</v>
      </c>
      <c r="X807" s="2" t="s">
        <v>3001</v>
      </c>
      <c r="Y807" s="2" t="s">
        <v>3002</v>
      </c>
      <c r="Z807" s="2">
        <v>0.5</v>
      </c>
      <c r="AA807" s="2" t="s">
        <v>548</v>
      </c>
      <c r="AB807" s="2">
        <v>255.1</v>
      </c>
    </row>
    <row r="808" spans="1:28" x14ac:dyDescent="0.25">
      <c r="A808" s="2" t="s">
        <v>2974</v>
      </c>
      <c r="B808" s="8" t="s">
        <v>2975</v>
      </c>
      <c r="C808" s="8" t="s">
        <v>36</v>
      </c>
      <c r="D808" s="8" t="s">
        <v>48</v>
      </c>
      <c r="E808" s="7" t="s">
        <v>38</v>
      </c>
      <c r="F808" s="13">
        <v>4460</v>
      </c>
      <c r="G808" s="59"/>
      <c r="H808" s="59"/>
      <c r="I808" s="6">
        <f t="shared" si="60"/>
        <v>803.60360360360357</v>
      </c>
      <c r="J808" s="2">
        <v>6.1</v>
      </c>
      <c r="K808" s="2">
        <v>5.55</v>
      </c>
      <c r="L808" s="2">
        <v>0.55000000000000004</v>
      </c>
      <c r="M808" s="2">
        <v>9.01</v>
      </c>
      <c r="N808" s="2" t="s">
        <v>2955</v>
      </c>
      <c r="O808" s="56">
        <v>4460</v>
      </c>
      <c r="P808" s="2">
        <v>5.57</v>
      </c>
      <c r="Q808" s="2">
        <v>20.399999999999999</v>
      </c>
      <c r="R808" s="2">
        <v>218.61</v>
      </c>
      <c r="S808" s="2">
        <v>3.31</v>
      </c>
      <c r="T808" s="2">
        <v>6.02</v>
      </c>
      <c r="U808" s="2">
        <v>215.3</v>
      </c>
      <c r="V808" s="2">
        <v>38.76</v>
      </c>
      <c r="W808" s="2">
        <v>6734.94</v>
      </c>
      <c r="X808" s="2" t="s">
        <v>3003</v>
      </c>
      <c r="Y808" s="2" t="s">
        <v>3004</v>
      </c>
      <c r="Z808" s="2" t="s">
        <v>548</v>
      </c>
      <c r="AA808" s="2" t="s">
        <v>548</v>
      </c>
      <c r="AB808" s="2">
        <v>49.4</v>
      </c>
    </row>
    <row r="809" spans="1:28" x14ac:dyDescent="0.25">
      <c r="A809" s="2" t="s">
        <v>2978</v>
      </c>
      <c r="B809" s="8" t="s">
        <v>2975</v>
      </c>
      <c r="C809" s="8" t="s">
        <v>36</v>
      </c>
      <c r="D809" s="8" t="s">
        <v>48</v>
      </c>
      <c r="E809" s="7" t="s">
        <v>38</v>
      </c>
      <c r="F809" s="13">
        <v>6365</v>
      </c>
      <c r="G809" s="59"/>
      <c r="H809" s="59"/>
      <c r="I809" s="6">
        <f t="shared" si="60"/>
        <v>601.03871576959398</v>
      </c>
      <c r="J809" s="2">
        <v>11.74</v>
      </c>
      <c r="K809" s="2">
        <v>10.59</v>
      </c>
      <c r="L809" s="2">
        <v>1.1499999999999999</v>
      </c>
      <c r="M809" s="2">
        <v>9.8000000000000007</v>
      </c>
      <c r="N809" s="2" t="s">
        <v>2388</v>
      </c>
      <c r="O809" s="56">
        <v>6365</v>
      </c>
      <c r="P809" s="2">
        <v>5.47</v>
      </c>
      <c r="Q809" s="2">
        <v>15.53</v>
      </c>
      <c r="R809" s="2">
        <v>409.77</v>
      </c>
      <c r="S809" s="2">
        <v>7.57</v>
      </c>
      <c r="T809" s="2">
        <v>6.58</v>
      </c>
      <c r="U809" s="2">
        <v>402.2</v>
      </c>
      <c r="V809" s="2">
        <v>37.99</v>
      </c>
      <c r="W809" s="2">
        <v>6728.83</v>
      </c>
      <c r="X809" s="2" t="s">
        <v>3005</v>
      </c>
      <c r="Y809" s="2" t="s">
        <v>3006</v>
      </c>
      <c r="Z809" s="2">
        <v>0.1</v>
      </c>
      <c r="AA809" s="2" t="s">
        <v>548</v>
      </c>
      <c r="AB809" s="2">
        <v>49.4</v>
      </c>
    </row>
    <row r="810" spans="1:28" x14ac:dyDescent="0.25">
      <c r="A810" s="2" t="s">
        <v>2974</v>
      </c>
      <c r="B810" s="8" t="s">
        <v>2975</v>
      </c>
      <c r="C810" s="8" t="s">
        <v>36</v>
      </c>
      <c r="D810" s="8" t="s">
        <v>49</v>
      </c>
      <c r="E810" s="8" t="s">
        <v>47</v>
      </c>
      <c r="F810" s="13"/>
      <c r="G810" s="59"/>
      <c r="H810" s="6"/>
      <c r="I810" s="6">
        <f t="shared" si="60"/>
        <v>74.683544303797461</v>
      </c>
      <c r="J810" s="2">
        <v>1.0900000000000001</v>
      </c>
      <c r="K810" s="2">
        <v>0.79</v>
      </c>
      <c r="L810" s="2">
        <v>0.3</v>
      </c>
      <c r="M810" s="2">
        <v>27.54</v>
      </c>
      <c r="N810" s="2" t="s">
        <v>3007</v>
      </c>
      <c r="O810" s="56">
        <v>59</v>
      </c>
      <c r="P810" s="2">
        <v>2.36</v>
      </c>
      <c r="Q810" s="2">
        <v>2.97</v>
      </c>
      <c r="R810" s="2">
        <v>19.87</v>
      </c>
      <c r="S810" s="2">
        <v>0.95</v>
      </c>
      <c r="T810" s="2">
        <v>3.15</v>
      </c>
      <c r="U810" s="2">
        <v>18.93</v>
      </c>
      <c r="V810" s="2">
        <v>23.98</v>
      </c>
      <c r="W810" s="2">
        <v>2069.61</v>
      </c>
      <c r="X810" s="2" t="s">
        <v>3008</v>
      </c>
      <c r="Y810" s="2" t="s">
        <v>3009</v>
      </c>
      <c r="Z810" s="2" t="s">
        <v>548</v>
      </c>
      <c r="AA810" s="2" t="s">
        <v>548</v>
      </c>
      <c r="AB810" s="2">
        <v>5.6</v>
      </c>
    </row>
    <row r="811" spans="1:28" x14ac:dyDescent="0.25">
      <c r="A811" s="2" t="s">
        <v>2978</v>
      </c>
      <c r="B811" s="8" t="s">
        <v>2975</v>
      </c>
      <c r="C811" s="8" t="s">
        <v>36</v>
      </c>
      <c r="D811" s="8" t="s">
        <v>49</v>
      </c>
      <c r="E811" s="8" t="s">
        <v>47</v>
      </c>
      <c r="F811" s="13"/>
      <c r="G811" s="59"/>
      <c r="H811" s="6"/>
      <c r="I811" s="6">
        <f t="shared" si="60"/>
        <v>359.55882352941171</v>
      </c>
      <c r="J811" s="2">
        <v>1.96</v>
      </c>
      <c r="K811" s="2">
        <v>1.36</v>
      </c>
      <c r="L811" s="2">
        <v>0.6</v>
      </c>
      <c r="M811" s="2">
        <v>30.64</v>
      </c>
      <c r="N811" s="2" t="s">
        <v>3010</v>
      </c>
      <c r="O811" s="56">
        <v>489</v>
      </c>
      <c r="P811" s="2">
        <v>3.15</v>
      </c>
      <c r="Q811" s="2">
        <v>8.99</v>
      </c>
      <c r="R811" s="2">
        <v>54.42</v>
      </c>
      <c r="S811" s="2">
        <v>3.79</v>
      </c>
      <c r="T811" s="2">
        <v>6.31</v>
      </c>
      <c r="U811" s="2">
        <v>50.63</v>
      </c>
      <c r="V811" s="2">
        <v>37.270000000000003</v>
      </c>
      <c r="W811" s="2">
        <v>2068.52</v>
      </c>
      <c r="X811" s="2" t="s">
        <v>3011</v>
      </c>
      <c r="Y811" s="2" t="s">
        <v>3012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2" t="s">
        <v>3064</v>
      </c>
      <c r="B812" s="8" t="s">
        <v>2975</v>
      </c>
      <c r="C812" s="8" t="s">
        <v>36</v>
      </c>
      <c r="D812" s="8" t="s">
        <v>39</v>
      </c>
      <c r="E812" s="8" t="s">
        <v>47</v>
      </c>
      <c r="F812" s="13"/>
      <c r="G812" s="59"/>
      <c r="H812" s="6"/>
      <c r="I812" s="6">
        <f t="shared" si="60"/>
        <v>278.53260869565219</v>
      </c>
      <c r="J812" s="2">
        <v>8.36</v>
      </c>
      <c r="K812" s="2">
        <v>7.36</v>
      </c>
      <c r="L812" s="2" t="s">
        <v>1696</v>
      </c>
      <c r="M812" s="2">
        <v>11.96</v>
      </c>
      <c r="N812" s="2" t="s">
        <v>3000</v>
      </c>
      <c r="O812" s="56">
        <v>2050</v>
      </c>
      <c r="P812" s="2">
        <v>1.36</v>
      </c>
      <c r="Q812" s="2">
        <v>9.25</v>
      </c>
      <c r="R812" s="2">
        <v>138.63999999999999</v>
      </c>
      <c r="S812" s="2">
        <v>4.26</v>
      </c>
      <c r="T812" s="2">
        <v>4.26</v>
      </c>
      <c r="U812" s="2">
        <v>134.38</v>
      </c>
      <c r="V812" s="2">
        <v>18.260000000000002</v>
      </c>
      <c r="W812" s="2">
        <v>9330.67</v>
      </c>
      <c r="X812" s="2" t="s">
        <v>3065</v>
      </c>
      <c r="Y812" s="2" t="s">
        <v>3066</v>
      </c>
      <c r="Z812" s="2">
        <v>0.1</v>
      </c>
      <c r="AA812" s="2" t="s">
        <v>548</v>
      </c>
      <c r="AB812" s="2">
        <v>292.3</v>
      </c>
    </row>
    <row r="813" spans="1:28" x14ac:dyDescent="0.25">
      <c r="A813" s="2" t="s">
        <v>3067</v>
      </c>
      <c r="B813" s="8" t="s">
        <v>2975</v>
      </c>
      <c r="C813" s="8" t="s">
        <v>36</v>
      </c>
      <c r="D813" s="8" t="s">
        <v>39</v>
      </c>
      <c r="E813" s="8" t="s">
        <v>47</v>
      </c>
      <c r="F813" s="13"/>
      <c r="G813" s="59"/>
      <c r="H813" s="6"/>
      <c r="I813" s="6">
        <f t="shared" si="60"/>
        <v>234.87773487773489</v>
      </c>
      <c r="J813" s="2">
        <v>8.57</v>
      </c>
      <c r="K813" s="2">
        <v>7.77</v>
      </c>
      <c r="L813" s="2">
        <v>0.8</v>
      </c>
      <c r="M813" s="2">
        <v>9.33</v>
      </c>
      <c r="N813" s="2" t="s">
        <v>3068</v>
      </c>
      <c r="O813" s="56">
        <v>1825</v>
      </c>
      <c r="P813" s="2">
        <v>1.46</v>
      </c>
      <c r="Q813" s="2">
        <v>8.6999999999999993</v>
      </c>
      <c r="R813" s="2">
        <v>148.58000000000001</v>
      </c>
      <c r="S813" s="2">
        <v>3.31</v>
      </c>
      <c r="T813" s="2">
        <v>4.1399999999999997</v>
      </c>
      <c r="U813" s="2">
        <v>145.27000000000001</v>
      </c>
      <c r="V813" s="2">
        <v>18.690000000000001</v>
      </c>
      <c r="W813" s="2">
        <v>9322.31</v>
      </c>
      <c r="X813" s="2" t="s">
        <v>3069</v>
      </c>
      <c r="Y813" s="2" t="s">
        <v>3070</v>
      </c>
      <c r="Z813" s="2">
        <v>0.4</v>
      </c>
      <c r="AA813" s="2" t="s">
        <v>548</v>
      </c>
      <c r="AB813" s="2">
        <v>292.2</v>
      </c>
    </row>
    <row r="814" spans="1:28" x14ac:dyDescent="0.25">
      <c r="A814" s="2" t="s">
        <v>3064</v>
      </c>
      <c r="B814" s="8" t="s">
        <v>2975</v>
      </c>
      <c r="C814" s="8" t="s">
        <v>36</v>
      </c>
      <c r="D814" s="8" t="s">
        <v>43</v>
      </c>
      <c r="E814" s="8" t="s">
        <v>47</v>
      </c>
      <c r="F814" s="13"/>
      <c r="G814" s="59"/>
      <c r="H814" s="6"/>
      <c r="I814" s="6">
        <f t="shared" si="60"/>
        <v>0</v>
      </c>
      <c r="J814" s="2">
        <v>7.08</v>
      </c>
      <c r="K814" s="2">
        <v>5.13</v>
      </c>
      <c r="L814" s="2">
        <v>1.95</v>
      </c>
      <c r="M814" s="2">
        <v>27.53</v>
      </c>
      <c r="N814" s="2" t="s">
        <v>45</v>
      </c>
      <c r="O814" s="56" t="s">
        <v>42</v>
      </c>
      <c r="P814" s="2" t="s">
        <v>45</v>
      </c>
      <c r="Q814" s="2" t="s">
        <v>45</v>
      </c>
      <c r="R814" s="2">
        <v>105.52</v>
      </c>
      <c r="S814" s="2">
        <v>8.0399999999999991</v>
      </c>
      <c r="T814" s="2">
        <v>4.13</v>
      </c>
      <c r="U814" s="2">
        <v>97.47</v>
      </c>
      <c r="V814" s="2">
        <v>18.989999999999998</v>
      </c>
      <c r="W814" s="2">
        <v>8923.4699999999993</v>
      </c>
      <c r="X814" s="2" t="s">
        <v>45</v>
      </c>
      <c r="Y814" s="2" t="s">
        <v>45</v>
      </c>
      <c r="Z814" s="2">
        <v>0.1</v>
      </c>
      <c r="AA814" s="2" t="s">
        <v>45</v>
      </c>
      <c r="AB814" s="2">
        <v>265.3</v>
      </c>
    </row>
    <row r="815" spans="1:28" x14ac:dyDescent="0.25">
      <c r="A815" s="2" t="s">
        <v>3067</v>
      </c>
      <c r="B815" s="8" t="s">
        <v>2975</v>
      </c>
      <c r="C815" s="8" t="s">
        <v>36</v>
      </c>
      <c r="D815" s="8" t="s">
        <v>43</v>
      </c>
      <c r="E815" s="8" t="s">
        <v>47</v>
      </c>
      <c r="F815" s="13"/>
      <c r="G815" s="59"/>
      <c r="H815" s="6"/>
      <c r="I815" s="6">
        <f t="shared" si="60"/>
        <v>0</v>
      </c>
      <c r="J815" s="2">
        <v>7.96</v>
      </c>
      <c r="K815" s="2">
        <v>6.76</v>
      </c>
      <c r="L815" s="2">
        <v>1.2</v>
      </c>
      <c r="M815" s="2">
        <v>15.07</v>
      </c>
      <c r="N815" s="2" t="s">
        <v>45</v>
      </c>
      <c r="O815" s="56" t="s">
        <v>42</v>
      </c>
      <c r="P815" s="2" t="s">
        <v>45</v>
      </c>
      <c r="Q815" s="2" t="s">
        <v>45</v>
      </c>
      <c r="R815" s="2">
        <v>151.41999999999999</v>
      </c>
      <c r="S815" s="2">
        <v>5.68</v>
      </c>
      <c r="T815" s="2">
        <v>4.7300000000000004</v>
      </c>
      <c r="U815" s="2">
        <v>145.74</v>
      </c>
      <c r="V815" s="2">
        <v>21.55</v>
      </c>
      <c r="W815" s="2">
        <v>8916.3799999999992</v>
      </c>
      <c r="X815" s="2" t="s">
        <v>45</v>
      </c>
      <c r="Y815" s="2" t="s">
        <v>45</v>
      </c>
      <c r="Z815" s="2">
        <v>0.9</v>
      </c>
      <c r="AA815" s="2" t="s">
        <v>45</v>
      </c>
      <c r="AB815" s="2">
        <v>265.2</v>
      </c>
    </row>
    <row r="816" spans="1:28" x14ac:dyDescent="0.25">
      <c r="A816" s="2" t="s">
        <v>3064</v>
      </c>
      <c r="B816" s="8" t="s">
        <v>2975</v>
      </c>
      <c r="C816" s="8" t="s">
        <v>36</v>
      </c>
      <c r="D816" s="8" t="s">
        <v>67</v>
      </c>
      <c r="E816" s="8" t="s">
        <v>47</v>
      </c>
      <c r="F816" s="13"/>
      <c r="G816" s="59"/>
      <c r="H816" s="6"/>
      <c r="I816" s="6">
        <f t="shared" ref="I816:I818" si="61">IFERROR(O816/K816,)</f>
        <v>335.17823639774861</v>
      </c>
      <c r="J816" s="2">
        <v>15.76</v>
      </c>
      <c r="K816" s="2">
        <v>10.66</v>
      </c>
      <c r="L816" s="2">
        <v>5.0999999999999996</v>
      </c>
      <c r="M816" s="2">
        <v>32.36</v>
      </c>
      <c r="N816" s="2" t="s">
        <v>3071</v>
      </c>
      <c r="O816" s="85">
        <f>4048-475</f>
        <v>3573</v>
      </c>
      <c r="P816" s="2">
        <v>2.27</v>
      </c>
      <c r="Q816" s="2">
        <v>17.600000000000001</v>
      </c>
      <c r="R816" s="2">
        <v>229.96</v>
      </c>
      <c r="S816" s="2">
        <v>16.09</v>
      </c>
      <c r="T816" s="2">
        <v>3.15</v>
      </c>
      <c r="U816" s="2">
        <v>213.88</v>
      </c>
      <c r="V816" s="2">
        <v>20.059999999999999</v>
      </c>
      <c r="W816" s="2">
        <v>738.54</v>
      </c>
      <c r="X816" s="2" t="s">
        <v>3072</v>
      </c>
      <c r="Y816" s="2" t="s">
        <v>3073</v>
      </c>
      <c r="Z816" s="2">
        <v>1.6</v>
      </c>
      <c r="AA816" s="2" t="s">
        <v>548</v>
      </c>
      <c r="AB816" s="2" t="s">
        <v>3074</v>
      </c>
    </row>
    <row r="817" spans="1:28" x14ac:dyDescent="0.25">
      <c r="A817" s="2" t="s">
        <v>3064</v>
      </c>
      <c r="B817" s="8" t="s">
        <v>2975</v>
      </c>
      <c r="C817" s="8" t="s">
        <v>36</v>
      </c>
      <c r="D817" s="8" t="s">
        <v>67</v>
      </c>
      <c r="E817" s="8" t="s">
        <v>61</v>
      </c>
      <c r="F817" s="13"/>
      <c r="G817" s="59"/>
      <c r="H817" s="6"/>
      <c r="I817" s="6"/>
      <c r="J817" s="2"/>
      <c r="K817" s="2"/>
      <c r="L817" s="2"/>
      <c r="M817" s="2"/>
      <c r="N817" s="2"/>
      <c r="O817" s="85">
        <f>19*25</f>
        <v>475</v>
      </c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2" t="s">
        <v>3067</v>
      </c>
      <c r="B818" s="8" t="s">
        <v>2975</v>
      </c>
      <c r="C818" s="8" t="s">
        <v>36</v>
      </c>
      <c r="D818" s="8" t="s">
        <v>67</v>
      </c>
      <c r="E818" s="8" t="s">
        <v>47</v>
      </c>
      <c r="F818" s="13"/>
      <c r="G818" s="59"/>
      <c r="H818" s="6"/>
      <c r="I818" s="6">
        <f t="shared" si="61"/>
        <v>290.70487993803255</v>
      </c>
      <c r="J818" s="2">
        <v>15.56</v>
      </c>
      <c r="K818" s="2">
        <v>12.91</v>
      </c>
      <c r="L818" s="2">
        <v>2.65</v>
      </c>
      <c r="M818" s="2">
        <v>17.03</v>
      </c>
      <c r="N818" s="2" t="s">
        <v>3075</v>
      </c>
      <c r="O818" s="85">
        <f>4928-1175</f>
        <v>3753</v>
      </c>
      <c r="P818" s="2">
        <v>2.31</v>
      </c>
      <c r="Q818" s="2">
        <v>17.77</v>
      </c>
      <c r="R818" s="2">
        <v>277.27999999999997</v>
      </c>
      <c r="S818" s="2">
        <v>7.57</v>
      </c>
      <c r="T818" s="2">
        <v>2.86</v>
      </c>
      <c r="U818" s="2">
        <v>269.70999999999998</v>
      </c>
      <c r="V818" s="2">
        <v>20.88</v>
      </c>
      <c r="W818" s="2">
        <v>722.78</v>
      </c>
      <c r="X818" s="2" t="s">
        <v>3076</v>
      </c>
      <c r="Y818" s="2" t="s">
        <v>3077</v>
      </c>
      <c r="Z818" s="2">
        <v>1.2</v>
      </c>
      <c r="AA818" s="2" t="s">
        <v>548</v>
      </c>
      <c r="AB818" s="2">
        <v>69.400000000000006</v>
      </c>
    </row>
    <row r="819" spans="1:28" x14ac:dyDescent="0.25">
      <c r="A819" s="2" t="s">
        <v>3067</v>
      </c>
      <c r="B819" s="8" t="s">
        <v>2975</v>
      </c>
      <c r="C819" s="8" t="s">
        <v>36</v>
      </c>
      <c r="D819" s="8" t="s">
        <v>67</v>
      </c>
      <c r="E819" s="8" t="s">
        <v>61</v>
      </c>
      <c r="F819" s="13"/>
      <c r="G819" s="59"/>
      <c r="H819" s="6"/>
      <c r="I819" s="6"/>
      <c r="J819" s="2"/>
      <c r="K819" s="2"/>
      <c r="L819" s="2"/>
      <c r="M819" s="2"/>
      <c r="N819" s="2"/>
      <c r="O819" s="85">
        <f>47*25</f>
        <v>1175</v>
      </c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2" t="s">
        <v>3064</v>
      </c>
      <c r="B820" s="8" t="s">
        <v>2975</v>
      </c>
      <c r="C820" s="8" t="s">
        <v>36</v>
      </c>
      <c r="D820" s="8" t="s">
        <v>50</v>
      </c>
      <c r="E820" s="8" t="s">
        <v>47</v>
      </c>
      <c r="F820" s="13"/>
      <c r="G820" s="59"/>
      <c r="H820" s="6"/>
      <c r="I820" s="6">
        <f t="shared" ref="I820:I821" si="62">IFERROR(O820/K820,)</f>
        <v>248.64433811802235</v>
      </c>
      <c r="J820" s="2">
        <v>7.02</v>
      </c>
      <c r="K820" s="2">
        <v>6.27</v>
      </c>
      <c r="L820" s="2">
        <v>0.75</v>
      </c>
      <c r="M820" s="2">
        <v>10.68</v>
      </c>
      <c r="N820" s="2" t="s">
        <v>3078</v>
      </c>
      <c r="O820" s="85">
        <v>1559</v>
      </c>
      <c r="P820" s="2">
        <v>2.2200000000000002</v>
      </c>
      <c r="Q820" s="2">
        <v>12.2</v>
      </c>
      <c r="R820" s="2">
        <v>127.76</v>
      </c>
      <c r="S820" s="2">
        <v>3.31</v>
      </c>
      <c r="T820" s="2">
        <v>4.42</v>
      </c>
      <c r="U820" s="2">
        <v>124.45</v>
      </c>
      <c r="V820" s="2">
        <v>19.850000000000001</v>
      </c>
      <c r="W820" s="2">
        <v>2571.1999999999998</v>
      </c>
      <c r="X820" s="2" t="s">
        <v>3079</v>
      </c>
      <c r="Y820" s="2" t="s">
        <v>3080</v>
      </c>
      <c r="Z820" s="2">
        <v>0.4</v>
      </c>
      <c r="AA820" s="2" t="s">
        <v>548</v>
      </c>
      <c r="AB820" s="2">
        <v>336.4</v>
      </c>
    </row>
    <row r="821" spans="1:28" x14ac:dyDescent="0.25">
      <c r="A821" s="2" t="s">
        <v>3067</v>
      </c>
      <c r="B821" s="8" t="s">
        <v>2975</v>
      </c>
      <c r="C821" s="8" t="s">
        <v>36</v>
      </c>
      <c r="D821" s="8" t="s">
        <v>50</v>
      </c>
      <c r="E821" s="8" t="s">
        <v>47</v>
      </c>
      <c r="F821" s="13"/>
      <c r="G821" s="59"/>
      <c r="H821" s="6"/>
      <c r="I821" s="6">
        <f t="shared" si="62"/>
        <v>143.33895446880271</v>
      </c>
      <c r="J821" s="2">
        <v>7.38</v>
      </c>
      <c r="K821" s="2">
        <v>5.93</v>
      </c>
      <c r="L821" s="2">
        <v>1.45</v>
      </c>
      <c r="M821" s="2">
        <v>19.66</v>
      </c>
      <c r="N821" s="2" t="s">
        <v>3081</v>
      </c>
      <c r="O821" s="85">
        <v>850</v>
      </c>
      <c r="P821" s="2">
        <v>1.65</v>
      </c>
      <c r="Q821" s="2">
        <v>6.75</v>
      </c>
      <c r="R821" s="2">
        <v>125.86</v>
      </c>
      <c r="S821" s="2">
        <v>4.7300000000000004</v>
      </c>
      <c r="T821" s="2">
        <v>3.26</v>
      </c>
      <c r="U821" s="2">
        <v>121.13</v>
      </c>
      <c r="V821" s="2">
        <v>20.440000000000001</v>
      </c>
      <c r="W821" s="2">
        <v>2564.1799999999998</v>
      </c>
      <c r="X821" s="2" t="s">
        <v>3082</v>
      </c>
      <c r="Y821" s="2" t="s">
        <v>3083</v>
      </c>
      <c r="Z821" s="2">
        <v>2.7</v>
      </c>
      <c r="AA821" s="2">
        <v>0.01</v>
      </c>
      <c r="AB821" s="2" t="s">
        <v>3084</v>
      </c>
    </row>
    <row r="822" spans="1:28" x14ac:dyDescent="0.25">
      <c r="A822" s="2" t="s">
        <v>3064</v>
      </c>
      <c r="B822" s="8" t="s">
        <v>2975</v>
      </c>
      <c r="C822" s="8" t="s">
        <v>36</v>
      </c>
      <c r="D822" s="8" t="s">
        <v>52</v>
      </c>
      <c r="E822" s="8" t="s">
        <v>47</v>
      </c>
      <c r="F822" s="13"/>
      <c r="G822" s="59"/>
      <c r="H822" s="6"/>
      <c r="I822" s="6">
        <f t="shared" ref="I822:I825" si="63">IFERROR(O822/K822,)</f>
        <v>242.2110552763819</v>
      </c>
      <c r="J822" s="2">
        <v>8.61</v>
      </c>
      <c r="K822" s="2">
        <v>7.96</v>
      </c>
      <c r="L822" s="2">
        <v>0.65</v>
      </c>
      <c r="M822" s="2">
        <v>7.55</v>
      </c>
      <c r="N822" s="2" t="s">
        <v>3085</v>
      </c>
      <c r="O822" s="85">
        <v>1928</v>
      </c>
      <c r="P822" s="2">
        <v>1.72</v>
      </c>
      <c r="Q822" s="2">
        <v>10.98</v>
      </c>
      <c r="R822" s="2">
        <v>175.55</v>
      </c>
      <c r="S822" s="2">
        <v>2.37</v>
      </c>
      <c r="T822" s="2">
        <v>3.64</v>
      </c>
      <c r="U822" s="2">
        <v>173.18</v>
      </c>
      <c r="V822" s="2">
        <v>21.76</v>
      </c>
      <c r="W822" s="2">
        <v>1167.79</v>
      </c>
      <c r="X822" s="2" t="s">
        <v>3086</v>
      </c>
      <c r="Y822" s="2" t="s">
        <v>3087</v>
      </c>
      <c r="Z822" s="2" t="s">
        <v>548</v>
      </c>
      <c r="AA822" s="2" t="s">
        <v>548</v>
      </c>
      <c r="AB822" s="2">
        <v>121.1</v>
      </c>
    </row>
    <row r="823" spans="1:28" x14ac:dyDescent="0.25">
      <c r="A823" s="2" t="s">
        <v>3067</v>
      </c>
      <c r="B823" s="8" t="s">
        <v>2975</v>
      </c>
      <c r="C823" s="8" t="s">
        <v>36</v>
      </c>
      <c r="D823" s="8" t="s">
        <v>52</v>
      </c>
      <c r="E823" s="8" t="s">
        <v>47</v>
      </c>
      <c r="F823" s="13"/>
      <c r="G823" s="59"/>
      <c r="H823" s="6"/>
      <c r="I823" s="6">
        <f t="shared" si="63"/>
        <v>185.42024013722127</v>
      </c>
      <c r="J823" s="2">
        <v>7.23</v>
      </c>
      <c r="K823" s="2">
        <v>5.83</v>
      </c>
      <c r="L823" s="2">
        <v>1.4</v>
      </c>
      <c r="M823" s="2">
        <v>19.350000000000001</v>
      </c>
      <c r="N823" s="2" t="s">
        <v>3088</v>
      </c>
      <c r="O823" s="85">
        <v>1081</v>
      </c>
      <c r="P823" s="2">
        <v>1.59</v>
      </c>
      <c r="Q823" s="2">
        <v>8.7899999999999991</v>
      </c>
      <c r="R823" s="2">
        <v>123.03</v>
      </c>
      <c r="S823" s="2">
        <v>5.2</v>
      </c>
      <c r="T823" s="2">
        <v>3.72</v>
      </c>
      <c r="U823" s="2">
        <v>117.82</v>
      </c>
      <c r="V823" s="2">
        <v>20.190000000000001</v>
      </c>
      <c r="W823" s="2">
        <v>1159.18</v>
      </c>
      <c r="X823" s="2" t="s">
        <v>3089</v>
      </c>
      <c r="Y823" s="2" t="s">
        <v>3090</v>
      </c>
      <c r="Z823" s="2">
        <v>0.7</v>
      </c>
      <c r="AA823" s="2" t="s">
        <v>548</v>
      </c>
      <c r="AB823" s="2">
        <v>121.1</v>
      </c>
    </row>
    <row r="824" spans="1:28" x14ac:dyDescent="0.25">
      <c r="A824" s="2" t="s">
        <v>3064</v>
      </c>
      <c r="B824" s="8" t="s">
        <v>2975</v>
      </c>
      <c r="C824" s="8" t="s">
        <v>36</v>
      </c>
      <c r="D824" s="7" t="s">
        <v>46</v>
      </c>
      <c r="E824" s="8" t="s">
        <v>47</v>
      </c>
      <c r="F824" s="13"/>
      <c r="G824" s="59"/>
      <c r="H824" s="59"/>
      <c r="I824" s="6">
        <f t="shared" si="63"/>
        <v>283.26612903225805</v>
      </c>
      <c r="J824" s="2">
        <v>5.41</v>
      </c>
      <c r="K824" s="2">
        <v>4.96</v>
      </c>
      <c r="L824" s="2">
        <v>0.45</v>
      </c>
      <c r="M824" s="2">
        <v>8.32</v>
      </c>
      <c r="N824" s="2" t="s">
        <v>3091</v>
      </c>
      <c r="O824" s="85">
        <v>1405</v>
      </c>
      <c r="P824" s="2">
        <v>3.24</v>
      </c>
      <c r="Q824" s="2">
        <v>9.0299999999999994</v>
      </c>
      <c r="R824" s="2">
        <v>155.68</v>
      </c>
      <c r="S824" s="2">
        <v>2.84</v>
      </c>
      <c r="T824" s="2">
        <v>6.31</v>
      </c>
      <c r="U824" s="2">
        <v>152.84</v>
      </c>
      <c r="V824" s="2">
        <v>30.82</v>
      </c>
      <c r="W824" s="2">
        <v>8134.08</v>
      </c>
      <c r="X824" s="2" t="s">
        <v>3092</v>
      </c>
      <c r="Y824" s="2" t="s">
        <v>3093</v>
      </c>
      <c r="Z824" s="2">
        <v>0.2</v>
      </c>
      <c r="AA824" s="2" t="s">
        <v>548</v>
      </c>
      <c r="AB824" s="2">
        <v>256.10000000000002</v>
      </c>
    </row>
    <row r="825" spans="1:28" x14ac:dyDescent="0.25">
      <c r="A825" s="2" t="s">
        <v>3067</v>
      </c>
      <c r="B825" s="8" t="s">
        <v>2975</v>
      </c>
      <c r="C825" s="8" t="s">
        <v>36</v>
      </c>
      <c r="D825" s="7" t="s">
        <v>46</v>
      </c>
      <c r="E825" s="8" t="s">
        <v>47</v>
      </c>
      <c r="F825" s="13"/>
      <c r="G825" s="59"/>
      <c r="H825" s="59"/>
      <c r="I825" s="6">
        <f t="shared" si="63"/>
        <v>259.21717171717171</v>
      </c>
      <c r="J825" s="2">
        <v>8.52</v>
      </c>
      <c r="K825" s="2">
        <v>7.92</v>
      </c>
      <c r="L825" s="2">
        <v>0.6</v>
      </c>
      <c r="M825" s="2">
        <v>7.04</v>
      </c>
      <c r="N825" s="2" t="s">
        <v>3094</v>
      </c>
      <c r="O825" s="85">
        <v>2053</v>
      </c>
      <c r="P825" s="2">
        <v>2.77</v>
      </c>
      <c r="Q825" s="2">
        <v>8.3000000000000007</v>
      </c>
      <c r="R825" s="2">
        <v>247.47</v>
      </c>
      <c r="S825" s="2">
        <v>5.2</v>
      </c>
      <c r="T825" s="2">
        <v>8.67</v>
      </c>
      <c r="U825" s="2">
        <v>242.27</v>
      </c>
      <c r="V825" s="2">
        <v>30.58</v>
      </c>
      <c r="W825" s="2">
        <v>8128.67</v>
      </c>
      <c r="X825" s="2" t="s">
        <v>3095</v>
      </c>
      <c r="Y825" s="2" t="s">
        <v>3096</v>
      </c>
      <c r="Z825" s="2">
        <v>0.4</v>
      </c>
      <c r="AA825" s="2" t="s">
        <v>548</v>
      </c>
      <c r="AB825" s="2">
        <v>255.9</v>
      </c>
    </row>
    <row r="826" spans="1:28" x14ac:dyDescent="0.25">
      <c r="A826" s="2" t="s">
        <v>3064</v>
      </c>
      <c r="B826" s="8" t="s">
        <v>2975</v>
      </c>
      <c r="C826" s="8" t="s">
        <v>36</v>
      </c>
      <c r="D826" s="8" t="s">
        <v>48</v>
      </c>
      <c r="E826" s="7" t="s">
        <v>38</v>
      </c>
      <c r="F826" s="13">
        <v>4252</v>
      </c>
      <c r="G826" s="59"/>
      <c r="H826" s="59"/>
      <c r="I826" s="6">
        <f t="shared" ref="I826:I830" si="64">IFERROR(O826/K826,)</f>
        <v>483.49328214971212</v>
      </c>
      <c r="J826" s="2">
        <v>11.18</v>
      </c>
      <c r="K826" s="2">
        <v>10.42</v>
      </c>
      <c r="L826" s="2">
        <v>0.75</v>
      </c>
      <c r="M826" s="2">
        <v>6.71</v>
      </c>
      <c r="N826" s="2" t="s">
        <v>3097</v>
      </c>
      <c r="O826" s="85">
        <v>5038</v>
      </c>
      <c r="P826" s="2">
        <v>4.62</v>
      </c>
      <c r="Q826" s="2">
        <v>12.41</v>
      </c>
      <c r="R826" s="2">
        <v>405.99</v>
      </c>
      <c r="S826" s="2">
        <v>5.2</v>
      </c>
      <c r="T826" s="2">
        <v>6.94</v>
      </c>
      <c r="U826" s="2">
        <v>400.78</v>
      </c>
      <c r="V826" s="2">
        <v>38.44</v>
      </c>
      <c r="W826" s="2">
        <v>6757.12</v>
      </c>
      <c r="X826" s="2" t="s">
        <v>3098</v>
      </c>
      <c r="Y826" s="2" t="s">
        <v>3099</v>
      </c>
      <c r="Z826" s="2">
        <v>0.1</v>
      </c>
      <c r="AA826" s="2" t="s">
        <v>548</v>
      </c>
      <c r="AB826" s="2">
        <v>49.6</v>
      </c>
    </row>
    <row r="827" spans="1:28" x14ac:dyDescent="0.25">
      <c r="A827" s="2" t="s">
        <v>3067</v>
      </c>
      <c r="B827" s="8" t="s">
        <v>2975</v>
      </c>
      <c r="C827" s="8" t="s">
        <v>36</v>
      </c>
      <c r="D827" s="8" t="s">
        <v>48</v>
      </c>
      <c r="E827" s="7" t="s">
        <v>38</v>
      </c>
      <c r="F827" s="13">
        <v>3706</v>
      </c>
      <c r="G827" s="59"/>
      <c r="H827" s="59"/>
      <c r="I827" s="6">
        <f t="shared" si="64"/>
        <v>459.02636916835701</v>
      </c>
      <c r="J827" s="2">
        <v>11.01</v>
      </c>
      <c r="K827" s="2">
        <v>9.86</v>
      </c>
      <c r="L827" s="2">
        <v>1.1499999999999999</v>
      </c>
      <c r="M827" s="2">
        <v>10.45</v>
      </c>
      <c r="N827" s="2" t="s">
        <v>1699</v>
      </c>
      <c r="O827" s="85">
        <v>4526</v>
      </c>
      <c r="P827" s="2">
        <v>4.41</v>
      </c>
      <c r="Q827" s="2">
        <v>11.94</v>
      </c>
      <c r="R827" s="2">
        <v>379.01</v>
      </c>
      <c r="S827" s="2">
        <v>7.1</v>
      </c>
      <c r="T827" s="2">
        <v>6.17</v>
      </c>
      <c r="U827" s="2">
        <v>371.92</v>
      </c>
      <c r="V827" s="2">
        <v>37.72</v>
      </c>
      <c r="W827" s="2">
        <v>6745.94</v>
      </c>
      <c r="X827" s="2" t="s">
        <v>3100</v>
      </c>
      <c r="Y827" s="2" t="s">
        <v>3101</v>
      </c>
      <c r="Z827" s="2">
        <v>0.1</v>
      </c>
      <c r="AA827" s="2" t="s">
        <v>548</v>
      </c>
      <c r="AB827" s="2">
        <v>49.5</v>
      </c>
    </row>
    <row r="828" spans="1:28" x14ac:dyDescent="0.25">
      <c r="A828" s="2" t="s">
        <v>3064</v>
      </c>
      <c r="B828" s="8" t="s">
        <v>2975</v>
      </c>
      <c r="C828" s="8" t="s">
        <v>36</v>
      </c>
      <c r="D828" s="8" t="s">
        <v>49</v>
      </c>
      <c r="E828" s="8" t="s">
        <v>47</v>
      </c>
      <c r="F828" s="13"/>
      <c r="G828" s="59"/>
      <c r="H828" s="6"/>
      <c r="I828" s="6">
        <f t="shared" si="64"/>
        <v>276.89393939393938</v>
      </c>
      <c r="J828" s="2">
        <v>10.72</v>
      </c>
      <c r="K828" s="2">
        <v>7.92</v>
      </c>
      <c r="L828" s="2">
        <v>2.8</v>
      </c>
      <c r="M828" s="2">
        <v>26.12</v>
      </c>
      <c r="N828" s="2" t="s">
        <v>3102</v>
      </c>
      <c r="O828" s="85">
        <f>3443-1250</f>
        <v>2193</v>
      </c>
      <c r="P828" s="2">
        <v>3.76</v>
      </c>
      <c r="Q828" s="2">
        <v>11.09</v>
      </c>
      <c r="R828" s="2">
        <v>310.39999999999998</v>
      </c>
      <c r="S828" s="2">
        <v>12.3</v>
      </c>
      <c r="T828" s="2">
        <v>4.3899999999999997</v>
      </c>
      <c r="U828" s="2">
        <v>298.10000000000002</v>
      </c>
      <c r="V828" s="2">
        <v>37.64</v>
      </c>
      <c r="W828" s="2">
        <v>2088.0700000000002</v>
      </c>
      <c r="X828" s="2" t="s">
        <v>3103</v>
      </c>
      <c r="Y828" s="2" t="s">
        <v>3104</v>
      </c>
      <c r="Z828" s="2" t="s">
        <v>548</v>
      </c>
      <c r="AA828" s="2" t="s">
        <v>548</v>
      </c>
      <c r="AB828" s="2">
        <v>5.6</v>
      </c>
    </row>
    <row r="829" spans="1:28" x14ac:dyDescent="0.25">
      <c r="A829" s="2" t="s">
        <v>3064</v>
      </c>
      <c r="B829" s="8" t="s">
        <v>2975</v>
      </c>
      <c r="C829" s="8" t="s">
        <v>36</v>
      </c>
      <c r="D829" s="8" t="s">
        <v>49</v>
      </c>
      <c r="E829" s="8" t="s">
        <v>61</v>
      </c>
      <c r="F829" s="13"/>
      <c r="G829" s="59"/>
      <c r="H829" s="6"/>
      <c r="I829" s="6"/>
      <c r="J829" s="2"/>
      <c r="K829" s="2"/>
      <c r="L829" s="2"/>
      <c r="M829" s="2"/>
      <c r="N829" s="2"/>
      <c r="O829" s="85">
        <f>50*25</f>
        <v>1250</v>
      </c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2" t="s">
        <v>3067</v>
      </c>
      <c r="B830" s="8" t="s">
        <v>2975</v>
      </c>
      <c r="C830" s="8" t="s">
        <v>36</v>
      </c>
      <c r="D830" s="8" t="s">
        <v>49</v>
      </c>
      <c r="E830" s="8" t="s">
        <v>47</v>
      </c>
      <c r="F830" s="13"/>
      <c r="G830" s="59"/>
      <c r="H830" s="6"/>
      <c r="I830" s="6">
        <f t="shared" si="64"/>
        <v>415.22435897435895</v>
      </c>
      <c r="J830" s="2">
        <v>7.74</v>
      </c>
      <c r="K830" s="2">
        <v>6.24</v>
      </c>
      <c r="L830" s="2">
        <v>1.5</v>
      </c>
      <c r="M830" s="2">
        <v>19.39</v>
      </c>
      <c r="N830" s="2" t="s">
        <v>1935</v>
      </c>
      <c r="O830" s="85">
        <v>2591</v>
      </c>
      <c r="P830" s="2">
        <v>2.39</v>
      </c>
      <c r="Q830" s="2">
        <v>9.73</v>
      </c>
      <c r="R830" s="2">
        <v>266.39999999999998</v>
      </c>
      <c r="S830" s="2">
        <v>7.57</v>
      </c>
      <c r="T830" s="2">
        <v>5.05</v>
      </c>
      <c r="U830" s="2">
        <v>258.83</v>
      </c>
      <c r="V830" s="2">
        <v>41.51</v>
      </c>
      <c r="W830" s="2">
        <v>2077.35</v>
      </c>
      <c r="X830" s="2" t="s">
        <v>3105</v>
      </c>
      <c r="Y830" s="2" t="s">
        <v>3106</v>
      </c>
      <c r="Z830" s="2" t="s">
        <v>548</v>
      </c>
      <c r="AA830" s="2" t="s">
        <v>548</v>
      </c>
      <c r="AB830" s="2">
        <v>5.6</v>
      </c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3013</v>
      </c>
      <c r="R1" t="s">
        <v>3014</v>
      </c>
      <c r="S1" t="s">
        <v>3015</v>
      </c>
      <c r="T1" t="s">
        <v>3016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3013</v>
      </c>
      <c r="B3" s="15" t="s">
        <v>3015</v>
      </c>
      <c r="C3" s="15" t="s">
        <v>3014</v>
      </c>
      <c r="D3" t="s">
        <v>3017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3018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3018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3013</v>
      </c>
      <c r="B3" t="s">
        <v>3015</v>
      </c>
      <c r="C3" t="s">
        <v>3019</v>
      </c>
      <c r="O3" s="9" t="s">
        <v>3013</v>
      </c>
      <c r="P3" t="s">
        <v>3015</v>
      </c>
      <c r="Q3" t="s">
        <v>3019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3021</v>
      </c>
      <c r="G3" s="17" t="s">
        <v>3022</v>
      </c>
      <c r="H3" s="17" t="s">
        <v>3023</v>
      </c>
      <c r="I3" s="17" t="s">
        <v>3024</v>
      </c>
      <c r="J3" s="17" t="s">
        <v>3025</v>
      </c>
      <c r="K3" s="17" t="s">
        <v>3026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3027</v>
      </c>
    </row>
    <row r="5" spans="6:11" x14ac:dyDescent="0.2">
      <c r="F5" s="17">
        <v>116</v>
      </c>
      <c r="H5" s="17">
        <v>110</v>
      </c>
      <c r="J5" s="17" t="s">
        <v>3028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3029</v>
      </c>
    </row>
    <row r="3" spans="1:17" x14ac:dyDescent="0.2">
      <c r="A3" s="25" t="s">
        <v>7</v>
      </c>
      <c r="B3" s="25" t="s">
        <v>3030</v>
      </c>
      <c r="C3" s="25" t="s">
        <v>3031</v>
      </c>
      <c r="D3" s="25" t="s">
        <v>3032</v>
      </c>
      <c r="E3" s="25" t="s">
        <v>3033</v>
      </c>
      <c r="F3" s="25" t="s">
        <v>3034</v>
      </c>
      <c r="H3" s="22" t="s">
        <v>3034</v>
      </c>
      <c r="I3" s="22" t="s">
        <v>3030</v>
      </c>
      <c r="J3" s="22" t="s">
        <v>3031</v>
      </c>
      <c r="K3" s="22" t="s">
        <v>3033</v>
      </c>
      <c r="L3" s="22" t="s">
        <v>3035</v>
      </c>
      <c r="M3" s="25" t="s">
        <v>3036</v>
      </c>
      <c r="O3" s="25" t="s">
        <v>7</v>
      </c>
      <c r="P3" s="25" t="s">
        <v>3033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3037</v>
      </c>
      <c r="H4" s="28" t="s">
        <v>3037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3037</v>
      </c>
      <c r="H5" s="28" t="s">
        <v>3038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3037</v>
      </c>
      <c r="H6" s="28" t="s">
        <v>3039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3037</v>
      </c>
      <c r="H7" s="28" t="s">
        <v>3040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3040</v>
      </c>
    </row>
    <row r="50" spans="1:6" x14ac:dyDescent="0.2">
      <c r="A50" s="84" t="s">
        <v>3041</v>
      </c>
      <c r="B50" s="84"/>
      <c r="C50" s="84"/>
      <c r="E50" s="23">
        <f>SUM(E4:E49)</f>
        <v>12900</v>
      </c>
    </row>
    <row r="56" spans="1:6" ht="15.75" x14ac:dyDescent="0.25">
      <c r="A56" s="34" t="s">
        <v>3042</v>
      </c>
    </row>
    <row r="57" spans="1:6" ht="25.5" x14ac:dyDescent="0.2">
      <c r="A57" s="35" t="s">
        <v>3043</v>
      </c>
      <c r="B57" s="36" t="s">
        <v>3044</v>
      </c>
      <c r="C57" s="36" t="s">
        <v>3045</v>
      </c>
      <c r="D57" s="36" t="s">
        <v>3046</v>
      </c>
    </row>
    <row r="58" spans="1:6" x14ac:dyDescent="0.2">
      <c r="A58" s="40" t="s">
        <v>3047</v>
      </c>
      <c r="B58" s="37">
        <v>108384.01</v>
      </c>
      <c r="C58" s="37"/>
      <c r="D58" s="37">
        <v>108384.01</v>
      </c>
    </row>
    <row r="59" spans="1:6" x14ac:dyDescent="0.2">
      <c r="A59" s="40" t="s">
        <v>3048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3054</v>
      </c>
      <c r="B65" s="37">
        <v>23860.793000000001</v>
      </c>
      <c r="C65" s="37"/>
      <c r="D65" s="37"/>
    </row>
    <row r="66" spans="1:4" x14ac:dyDescent="0.2">
      <c r="A66" s="40" t="s">
        <v>3055</v>
      </c>
      <c r="B66" s="37">
        <v>1344.431</v>
      </c>
      <c r="C66" s="37"/>
      <c r="D66" s="37"/>
    </row>
    <row r="67" spans="1:4" x14ac:dyDescent="0.2">
      <c r="A67" s="38" t="s">
        <v>3041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3056</v>
      </c>
      <c r="E2" s="48" t="s">
        <v>3057</v>
      </c>
      <c r="F2" s="48" t="s">
        <v>3058</v>
      </c>
      <c r="G2" s="48" t="s">
        <v>3059</v>
      </c>
      <c r="H2" s="48" t="s">
        <v>3060</v>
      </c>
      <c r="I2" s="48" t="s">
        <v>3061</v>
      </c>
      <c r="J2" s="48" t="s">
        <v>3062</v>
      </c>
      <c r="K2" s="48" t="s">
        <v>3063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2026-08-14T20:46:23Z</dcterms:modified>
  <cp:category/>
  <cp:contentStatus/>
</cp:coreProperties>
</file>